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Google Drive\Finance\"/>
    </mc:Choice>
  </mc:AlternateContent>
  <xr:revisionPtr revIDLastSave="0" documentId="13_ncr:1_{3AC63904-D115-4341-88A1-D3A323CB57C3}" xr6:coauthVersionLast="45" xr6:coauthVersionMax="45" xr10:uidLastSave="{00000000-0000-0000-0000-000000000000}"/>
  <bookViews>
    <workbookView xWindow="-108" yWindow="-108" windowWidth="23256" windowHeight="12576" activeTab="3" xr2:uid="{E5E7D9ED-02C3-4097-AE9F-684714ABF7DB}"/>
  </bookViews>
  <sheets>
    <sheet name="Dice Problem" sheetId="1" r:id="rId1"/>
    <sheet name="NPV Problem" sheetId="2" r:id="rId2"/>
    <sheet name="Forward Problem" sheetId="3" r:id="rId3"/>
    <sheet name="Option Pricer" sheetId="4" r:id="rId4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4" l="1"/>
  <c r="D11" i="4"/>
  <c r="D12" i="4" s="1"/>
  <c r="D15" i="4" s="1"/>
  <c r="D7" i="4"/>
  <c r="C20" i="4"/>
  <c r="C19" i="4"/>
  <c r="C15" i="4"/>
  <c r="C14" i="4"/>
  <c r="C12" i="4"/>
  <c r="C11" i="4"/>
  <c r="M19" i="2"/>
  <c r="M20" i="2"/>
  <c r="M12" i="2"/>
  <c r="M13" i="2"/>
  <c r="M14" i="2"/>
  <c r="M15" i="2"/>
  <c r="M16" i="2"/>
  <c r="M17" i="2"/>
  <c r="M18" i="2"/>
  <c r="M11" i="2"/>
  <c r="J5" i="2"/>
  <c r="K5" i="2" s="1"/>
  <c r="M3" i="2"/>
  <c r="B10" i="2"/>
  <c r="K4" i="2"/>
  <c r="K3" i="2"/>
  <c r="G23" i="2"/>
  <c r="G24" i="2"/>
  <c r="G25" i="2"/>
  <c r="G26" i="2"/>
  <c r="G27" i="2"/>
  <c r="G28" i="2"/>
  <c r="G29" i="2"/>
  <c r="G30" i="2"/>
  <c r="G31" i="2"/>
  <c r="G32" i="2"/>
  <c r="G3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3" i="2"/>
  <c r="T24" i="1"/>
  <c r="T21" i="1"/>
  <c r="S12" i="1"/>
  <c r="T12" i="1"/>
  <c r="U12" i="1"/>
  <c r="V12" i="1"/>
  <c r="W12" i="1"/>
  <c r="S13" i="1"/>
  <c r="T13" i="1"/>
  <c r="U13" i="1"/>
  <c r="V13" i="1"/>
  <c r="W13" i="1"/>
  <c r="S14" i="1"/>
  <c r="T14" i="1"/>
  <c r="U14" i="1"/>
  <c r="V14" i="1"/>
  <c r="W14" i="1"/>
  <c r="S15" i="1"/>
  <c r="T15" i="1"/>
  <c r="U15" i="1"/>
  <c r="V15" i="1"/>
  <c r="W15" i="1"/>
  <c r="S16" i="1"/>
  <c r="T16" i="1"/>
  <c r="U16" i="1"/>
  <c r="V16" i="1"/>
  <c r="W16" i="1"/>
  <c r="S17" i="1"/>
  <c r="T17" i="1"/>
  <c r="U17" i="1"/>
  <c r="V17" i="1"/>
  <c r="W17" i="1"/>
  <c r="R13" i="1"/>
  <c r="R14" i="1"/>
  <c r="R15" i="1"/>
  <c r="R16" i="1"/>
  <c r="R17" i="1"/>
  <c r="R12" i="1"/>
  <c r="L12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4" i="1"/>
  <c r="C4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C3" i="1"/>
  <c r="B3" i="1"/>
  <c r="U25" i="4"/>
  <c r="U63" i="4"/>
  <c r="U54" i="4"/>
  <c r="U59" i="4"/>
  <c r="U44" i="4"/>
  <c r="U37" i="4"/>
  <c r="U64" i="4"/>
  <c r="T58" i="4"/>
  <c r="T57" i="4"/>
  <c r="T36" i="4"/>
  <c r="T38" i="4"/>
  <c r="T56" i="4"/>
  <c r="T40" i="4"/>
  <c r="S42" i="4"/>
  <c r="S61" i="4"/>
  <c r="S20" i="4"/>
  <c r="S37" i="4"/>
  <c r="S56" i="4"/>
  <c r="S63" i="4"/>
  <c r="Q32" i="4"/>
  <c r="Q57" i="4"/>
  <c r="Q43" i="4"/>
  <c r="Q52" i="4"/>
  <c r="Q61" i="4"/>
  <c r="Q19" i="4"/>
  <c r="Q25" i="4"/>
  <c r="R66" i="4"/>
  <c r="R27" i="4"/>
  <c r="R37" i="4"/>
  <c r="R62" i="4"/>
  <c r="R64" i="4"/>
  <c r="R17" i="4"/>
  <c r="G25" i="4"/>
  <c r="O66" i="4" a="1"/>
  <c r="O16" i="4" a="1"/>
  <c r="O48" i="4" a="1"/>
  <c r="O40" i="4" a="1"/>
  <c r="O49" i="4" a="1"/>
  <c r="B7" i="3" a="1"/>
  <c r="O62" i="4" a="1"/>
  <c r="O45" i="4" a="1"/>
  <c r="R47" i="4"/>
  <c r="O51" i="4" a="1"/>
  <c r="O61" i="4" a="1"/>
  <c r="U43" i="4"/>
  <c r="T59" i="4"/>
  <c r="S51" i="4"/>
  <c r="Q36" i="4"/>
  <c r="R50" i="4"/>
  <c r="G20" i="4"/>
  <c r="O57" i="4" a="1"/>
  <c r="U39" i="4"/>
  <c r="U24" i="4"/>
  <c r="T48" i="4"/>
  <c r="S40" i="4"/>
  <c r="Q35" i="4"/>
  <c r="R19" i="4"/>
  <c r="G26" i="4"/>
  <c r="O60" i="4" a="1"/>
  <c r="U33" i="4"/>
  <c r="U18" i="4"/>
  <c r="U47" i="4"/>
  <c r="U30" i="4"/>
  <c r="U52" i="4"/>
  <c r="U45" i="4"/>
  <c r="U16" i="4"/>
  <c r="T66" i="4"/>
  <c r="T19" i="4"/>
  <c r="T52" i="4"/>
  <c r="T46" i="4"/>
  <c r="T41" i="4"/>
  <c r="T64" i="4"/>
  <c r="S50" i="4"/>
  <c r="S49" i="4"/>
  <c r="S28" i="4"/>
  <c r="S22" i="4"/>
  <c r="S17" i="4"/>
  <c r="S24" i="4"/>
  <c r="Q40" i="4"/>
  <c r="Q65" i="4"/>
  <c r="Q51" i="4"/>
  <c r="Q60" i="4"/>
  <c r="Q38" i="4"/>
  <c r="Q22" i="4"/>
  <c r="Q17" i="4"/>
  <c r="R28" i="4"/>
  <c r="R35" i="4"/>
  <c r="R61" i="4"/>
  <c r="R23" i="4"/>
  <c r="R25" i="4"/>
  <c r="R33" i="4"/>
  <c r="G24" i="4"/>
  <c r="O65" i="4" a="1"/>
  <c r="G22" i="4" a="1"/>
  <c r="O23" i="4" a="1"/>
  <c r="O43" i="4" a="1"/>
  <c r="O17" i="4" a="1"/>
  <c r="L24" i="2" a="1"/>
  <c r="R38" i="4"/>
  <c r="R41" i="4"/>
  <c r="O19" i="4" a="1"/>
  <c r="O25" i="4" a="1"/>
  <c r="O26" i="4" a="1"/>
  <c r="G19" i="4" a="1"/>
  <c r="R59" i="4"/>
  <c r="O53" i="4" a="1"/>
  <c r="U46" i="4"/>
  <c r="T42" i="4"/>
  <c r="T32" i="4"/>
  <c r="S21" i="4"/>
  <c r="S57" i="4"/>
  <c r="Q29" i="4"/>
  <c r="R63" i="4"/>
  <c r="O59" i="4" a="1"/>
  <c r="U29" i="4"/>
  <c r="T20" i="4"/>
  <c r="S45" i="4"/>
  <c r="S16" i="4"/>
  <c r="R58" i="4"/>
  <c r="R48" i="4"/>
  <c r="O41" i="4" a="1"/>
  <c r="U41" i="4"/>
  <c r="U26" i="4"/>
  <c r="U56" i="4"/>
  <c r="U62" i="4"/>
  <c r="U60" i="4"/>
  <c r="U53" i="4"/>
  <c r="T17" i="4"/>
  <c r="T28" i="4"/>
  <c r="T27" i="4"/>
  <c r="T29" i="4"/>
  <c r="T54" i="4"/>
  <c r="T49" i="4"/>
  <c r="T25" i="4"/>
  <c r="S58" i="4"/>
  <c r="S19" i="4"/>
  <c r="S44" i="4"/>
  <c r="S30" i="4"/>
  <c r="S41" i="4"/>
  <c r="S32" i="4"/>
  <c r="Q48" i="4"/>
  <c r="Q34" i="4"/>
  <c r="Q59" i="4"/>
  <c r="Q54" i="4"/>
  <c r="Q62" i="4"/>
  <c r="Q18" i="4"/>
  <c r="R18" i="4"/>
  <c r="R44" i="4"/>
  <c r="R43" i="4"/>
  <c r="R31" i="4"/>
  <c r="R49" i="4"/>
  <c r="O21" i="4" a="1"/>
  <c r="O39" i="4" a="1"/>
  <c r="O29" i="4" a="1"/>
  <c r="O32" i="4" a="1"/>
  <c r="O55" i="4" a="1"/>
  <c r="R45" i="4"/>
  <c r="O56" i="4" a="1"/>
  <c r="O47" i="4" a="1"/>
  <c r="U28" i="4"/>
  <c r="T22" i="4"/>
  <c r="S62" i="4"/>
  <c r="Q45" i="4"/>
  <c r="R46" i="4"/>
  <c r="O34" i="4" a="1"/>
  <c r="O44" i="4" a="1"/>
  <c r="U66" i="4"/>
  <c r="T50" i="4"/>
  <c r="T24" i="4"/>
  <c r="S55" i="4"/>
  <c r="Q53" i="4"/>
  <c r="R30" i="4"/>
  <c r="O52" i="4" a="1"/>
  <c r="O46" i="4" a="1"/>
  <c r="U49" i="4"/>
  <c r="U34" i="4"/>
  <c r="U19" i="4"/>
  <c r="U55" i="4"/>
  <c r="U38" i="4"/>
  <c r="U61" i="4"/>
  <c r="T18" i="4"/>
  <c r="T44" i="4"/>
  <c r="T35" i="4"/>
  <c r="T45" i="4"/>
  <c r="T62" i="4"/>
  <c r="T23" i="4"/>
  <c r="T65" i="4"/>
  <c r="S66" i="4"/>
  <c r="S27" i="4"/>
  <c r="S60" i="4"/>
  <c r="S38" i="4"/>
  <c r="S23" i="4"/>
  <c r="S48" i="4"/>
  <c r="Q56" i="4"/>
  <c r="Q50" i="4"/>
  <c r="Q46" i="4"/>
  <c r="Q31" i="4"/>
  <c r="Q47" i="4"/>
  <c r="Q20" i="4"/>
  <c r="R26" i="4"/>
  <c r="R60" i="4"/>
  <c r="R51" i="4"/>
  <c r="R54" i="4"/>
  <c r="R39" i="4"/>
  <c r="R57" i="4"/>
  <c r="R65" i="4"/>
  <c r="O35" i="4" a="1"/>
  <c r="O37" i="4" a="1"/>
  <c r="O24" i="4" a="1"/>
  <c r="O31" i="4" a="1"/>
  <c r="R21" i="4"/>
  <c r="O22" i="4" a="1"/>
  <c r="U40" i="4"/>
  <c r="S47" i="4"/>
  <c r="R53" i="4"/>
  <c r="O30" i="4" a="1"/>
  <c r="U51" i="4"/>
  <c r="S34" i="4"/>
  <c r="Q27" i="4"/>
  <c r="O50" i="4" a="1"/>
  <c r="U57" i="4"/>
  <c r="U42" i="4"/>
  <c r="U27" i="4"/>
  <c r="U32" i="4"/>
  <c r="U23" i="4"/>
  <c r="U22" i="4"/>
  <c r="T26" i="4"/>
  <c r="T60" i="4"/>
  <c r="T43" i="4"/>
  <c r="T61" i="4"/>
  <c r="T47" i="4"/>
  <c r="T31" i="4"/>
  <c r="T16" i="4"/>
  <c r="S36" i="4"/>
  <c r="S35" i="4"/>
  <c r="S29" i="4"/>
  <c r="S46" i="4"/>
  <c r="S31" i="4"/>
  <c r="S64" i="4"/>
  <c r="Q64" i="4"/>
  <c r="Q58" i="4"/>
  <c r="Q39" i="4"/>
  <c r="Q63" i="4"/>
  <c r="Q30" i="4"/>
  <c r="Q21" i="4"/>
  <c r="R34" i="4"/>
  <c r="R24" i="4"/>
  <c r="R16" i="4"/>
  <c r="O33" i="4" a="1"/>
  <c r="U21" i="4"/>
  <c r="S26" i="4"/>
  <c r="Q42" i="4"/>
  <c r="R36" i="4"/>
  <c r="O36" i="4" a="1"/>
  <c r="U17" i="4"/>
  <c r="T33" i="4"/>
  <c r="S65" i="4"/>
  <c r="Q44" i="4"/>
  <c r="R52" i="4"/>
  <c r="O58" i="4" a="1"/>
  <c r="U65" i="4"/>
  <c r="U50" i="4"/>
  <c r="U35" i="4"/>
  <c r="U20" i="4"/>
  <c r="U48" i="4"/>
  <c r="U31" i="4"/>
  <c r="T34" i="4"/>
  <c r="T37" i="4"/>
  <c r="T51" i="4"/>
  <c r="T21" i="4"/>
  <c r="T63" i="4"/>
  <c r="T39" i="4"/>
  <c r="S18" i="4"/>
  <c r="S52" i="4"/>
  <c r="S43" i="4"/>
  <c r="S53" i="4"/>
  <c r="S54" i="4"/>
  <c r="S39" i="4"/>
  <c r="S25" i="4"/>
  <c r="Q33" i="4"/>
  <c r="Q66" i="4"/>
  <c r="Q55" i="4"/>
  <c r="Q37" i="4"/>
  <c r="Q28" i="4"/>
  <c r="Q23" i="4"/>
  <c r="R42" i="4"/>
  <c r="R22" i="4"/>
  <c r="R20" i="4"/>
  <c r="R29" i="4"/>
  <c r="R55" i="4"/>
  <c r="R32" i="4"/>
  <c r="Q16" i="4"/>
  <c r="O18" i="4" a="1"/>
  <c r="O20" i="4" a="1"/>
  <c r="O27" i="4" a="1"/>
  <c r="O38" i="4" a="1"/>
  <c r="O64" i="4" a="1"/>
  <c r="O28" i="4" a="1"/>
  <c r="O63" i="4" a="1"/>
  <c r="U58" i="4"/>
  <c r="T53" i="4"/>
  <c r="T55" i="4"/>
  <c r="S33" i="4"/>
  <c r="Q41" i="4"/>
  <c r="Q26" i="4"/>
  <c r="R40" i="4"/>
  <c r="O54" i="4" a="1"/>
  <c r="U36" i="4"/>
  <c r="T30" i="4"/>
  <c r="S59" i="4"/>
  <c r="Q49" i="4"/>
  <c r="Q24" i="4"/>
  <c r="R56" i="4"/>
  <c r="O42" i="4" a="1"/>
  <c r="M10" i="1" a="1"/>
  <c r="M12" i="1" a="1"/>
  <c r="M11" i="1" a="1"/>
  <c r="O66" i="4" l="1"/>
  <c r="O64" i="4"/>
  <c r="O62" i="4"/>
  <c r="O60" i="4"/>
  <c r="O58" i="4"/>
  <c r="O56" i="4"/>
  <c r="O54" i="4"/>
  <c r="O52" i="4"/>
  <c r="O50" i="4"/>
  <c r="O48" i="4"/>
  <c r="O46" i="4"/>
  <c r="O44" i="4"/>
  <c r="O42" i="4"/>
  <c r="O40" i="4"/>
  <c r="O38" i="4"/>
  <c r="O36" i="4"/>
  <c r="O34" i="4"/>
  <c r="O32" i="4"/>
  <c r="O30" i="4"/>
  <c r="O28" i="4"/>
  <c r="O26" i="4"/>
  <c r="O24" i="4"/>
  <c r="O22" i="4"/>
  <c r="O20" i="4"/>
  <c r="O18" i="4"/>
  <c r="O65" i="4"/>
  <c r="O63" i="4"/>
  <c r="O61" i="4"/>
  <c r="O59" i="4"/>
  <c r="O57" i="4"/>
  <c r="O55" i="4"/>
  <c r="O53" i="4"/>
  <c r="O51" i="4"/>
  <c r="O49" i="4"/>
  <c r="O47" i="4"/>
  <c r="O45" i="4"/>
  <c r="O43" i="4"/>
  <c r="O41" i="4"/>
  <c r="O39" i="4"/>
  <c r="O37" i="4"/>
  <c r="O35" i="4"/>
  <c r="O33" i="4"/>
  <c r="O31" i="4"/>
  <c r="O29" i="4"/>
  <c r="O27" i="4"/>
  <c r="O25" i="4"/>
  <c r="O23" i="4"/>
  <c r="O21" i="4"/>
  <c r="O19" i="4"/>
  <c r="O17" i="4"/>
  <c r="O16" i="4"/>
  <c r="G22" i="4"/>
  <c r="G19" i="4"/>
  <c r="D14" i="4"/>
  <c r="D19" i="4" s="1"/>
  <c r="B7" i="3"/>
  <c r="L24" i="2"/>
  <c r="M10" i="1"/>
  <c r="M11" i="1"/>
  <c r="M12" i="1"/>
  <c r="D3" i="1"/>
  <c r="E3" i="1" s="1"/>
  <c r="D1002" i="1"/>
  <c r="E1002" i="1" s="1"/>
  <c r="D1000" i="1"/>
  <c r="E1000" i="1" s="1"/>
  <c r="D998" i="1"/>
  <c r="E998" i="1" s="1"/>
  <c r="D996" i="1"/>
  <c r="E996" i="1" s="1"/>
  <c r="D994" i="1"/>
  <c r="E994" i="1" s="1"/>
  <c r="D992" i="1"/>
  <c r="E992" i="1" s="1"/>
  <c r="D990" i="1"/>
  <c r="E990" i="1" s="1"/>
  <c r="D988" i="1"/>
  <c r="E988" i="1" s="1"/>
  <c r="D986" i="1"/>
  <c r="E986" i="1" s="1"/>
  <c r="D984" i="1"/>
  <c r="E984" i="1" s="1"/>
  <c r="D982" i="1"/>
  <c r="E982" i="1" s="1"/>
  <c r="D980" i="1"/>
  <c r="E980" i="1" s="1"/>
  <c r="D978" i="1"/>
  <c r="E978" i="1" s="1"/>
  <c r="D976" i="1"/>
  <c r="E976" i="1" s="1"/>
  <c r="D974" i="1"/>
  <c r="E974" i="1" s="1"/>
  <c r="D972" i="1"/>
  <c r="E972" i="1" s="1"/>
  <c r="D970" i="1"/>
  <c r="E970" i="1" s="1"/>
  <c r="D968" i="1"/>
  <c r="E968" i="1" s="1"/>
  <c r="D966" i="1"/>
  <c r="E966" i="1" s="1"/>
  <c r="D964" i="1"/>
  <c r="E964" i="1" s="1"/>
  <c r="D962" i="1"/>
  <c r="E962" i="1" s="1"/>
  <c r="D960" i="1"/>
  <c r="E960" i="1" s="1"/>
  <c r="D958" i="1"/>
  <c r="E958" i="1" s="1"/>
  <c r="D956" i="1"/>
  <c r="E956" i="1" s="1"/>
  <c r="D954" i="1"/>
  <c r="E954" i="1" s="1"/>
  <c r="D952" i="1"/>
  <c r="E952" i="1" s="1"/>
  <c r="D950" i="1"/>
  <c r="E950" i="1" s="1"/>
  <c r="D948" i="1"/>
  <c r="E948" i="1" s="1"/>
  <c r="D946" i="1"/>
  <c r="E946" i="1" s="1"/>
  <c r="D944" i="1"/>
  <c r="E944" i="1" s="1"/>
  <c r="D942" i="1"/>
  <c r="E942" i="1" s="1"/>
  <c r="D940" i="1"/>
  <c r="E940" i="1" s="1"/>
  <c r="D938" i="1"/>
  <c r="E938" i="1" s="1"/>
  <c r="D936" i="1"/>
  <c r="E936" i="1" s="1"/>
  <c r="D934" i="1"/>
  <c r="E934" i="1" s="1"/>
  <c r="D932" i="1"/>
  <c r="E932" i="1" s="1"/>
  <c r="D930" i="1"/>
  <c r="E930" i="1" s="1"/>
  <c r="D928" i="1"/>
  <c r="E928" i="1" s="1"/>
  <c r="D926" i="1"/>
  <c r="E926" i="1" s="1"/>
  <c r="D924" i="1"/>
  <c r="E924" i="1" s="1"/>
  <c r="D922" i="1"/>
  <c r="E922" i="1" s="1"/>
  <c r="D920" i="1"/>
  <c r="E920" i="1" s="1"/>
  <c r="D918" i="1"/>
  <c r="E918" i="1" s="1"/>
  <c r="D916" i="1"/>
  <c r="E916" i="1" s="1"/>
  <c r="D914" i="1"/>
  <c r="E914" i="1" s="1"/>
  <c r="D912" i="1"/>
  <c r="E912" i="1" s="1"/>
  <c r="D910" i="1"/>
  <c r="E910" i="1" s="1"/>
  <c r="D908" i="1"/>
  <c r="E908" i="1" s="1"/>
  <c r="D906" i="1"/>
  <c r="E906" i="1" s="1"/>
  <c r="D904" i="1"/>
  <c r="E904" i="1" s="1"/>
  <c r="D902" i="1"/>
  <c r="E902" i="1" s="1"/>
  <c r="D900" i="1"/>
  <c r="E900" i="1" s="1"/>
  <c r="D898" i="1"/>
  <c r="E898" i="1" s="1"/>
  <c r="D896" i="1"/>
  <c r="E896" i="1" s="1"/>
  <c r="D894" i="1"/>
  <c r="E894" i="1" s="1"/>
  <c r="D892" i="1"/>
  <c r="E892" i="1" s="1"/>
  <c r="D890" i="1"/>
  <c r="E890" i="1" s="1"/>
  <c r="D888" i="1"/>
  <c r="E888" i="1" s="1"/>
  <c r="D886" i="1"/>
  <c r="E886" i="1" s="1"/>
  <c r="D884" i="1"/>
  <c r="E884" i="1" s="1"/>
  <c r="D882" i="1"/>
  <c r="E882" i="1" s="1"/>
  <c r="D880" i="1"/>
  <c r="E880" i="1" s="1"/>
  <c r="D878" i="1"/>
  <c r="E878" i="1" s="1"/>
  <c r="D876" i="1"/>
  <c r="E876" i="1" s="1"/>
  <c r="D874" i="1"/>
  <c r="E874" i="1" s="1"/>
  <c r="D872" i="1"/>
  <c r="E872" i="1" s="1"/>
  <c r="D870" i="1"/>
  <c r="E870" i="1" s="1"/>
  <c r="D868" i="1"/>
  <c r="E868" i="1" s="1"/>
  <c r="D866" i="1"/>
  <c r="E866" i="1" s="1"/>
  <c r="D864" i="1"/>
  <c r="E864" i="1" s="1"/>
  <c r="D862" i="1"/>
  <c r="E862" i="1" s="1"/>
  <c r="D860" i="1"/>
  <c r="E860" i="1" s="1"/>
  <c r="D858" i="1"/>
  <c r="E858" i="1" s="1"/>
  <c r="D856" i="1"/>
  <c r="E856" i="1" s="1"/>
  <c r="D854" i="1"/>
  <c r="E854" i="1" s="1"/>
  <c r="D852" i="1"/>
  <c r="E852" i="1" s="1"/>
  <c r="D850" i="1"/>
  <c r="E850" i="1" s="1"/>
  <c r="D848" i="1"/>
  <c r="E848" i="1" s="1"/>
  <c r="D846" i="1"/>
  <c r="E846" i="1" s="1"/>
  <c r="D844" i="1"/>
  <c r="E844" i="1" s="1"/>
  <c r="D842" i="1"/>
  <c r="E842" i="1" s="1"/>
  <c r="D840" i="1"/>
  <c r="E840" i="1" s="1"/>
  <c r="D838" i="1"/>
  <c r="E838" i="1" s="1"/>
  <c r="D836" i="1"/>
  <c r="E836" i="1" s="1"/>
  <c r="D834" i="1"/>
  <c r="E834" i="1" s="1"/>
  <c r="D832" i="1"/>
  <c r="E832" i="1" s="1"/>
  <c r="D830" i="1"/>
  <c r="E830" i="1" s="1"/>
  <c r="D828" i="1"/>
  <c r="E828" i="1" s="1"/>
  <c r="D826" i="1"/>
  <c r="E826" i="1" s="1"/>
  <c r="D824" i="1"/>
  <c r="E824" i="1" s="1"/>
  <c r="D822" i="1"/>
  <c r="E822" i="1" s="1"/>
  <c r="D820" i="1"/>
  <c r="E820" i="1" s="1"/>
  <c r="D818" i="1"/>
  <c r="E818" i="1" s="1"/>
  <c r="D816" i="1"/>
  <c r="E816" i="1" s="1"/>
  <c r="D814" i="1"/>
  <c r="E814" i="1" s="1"/>
  <c r="D812" i="1"/>
  <c r="E812" i="1" s="1"/>
  <c r="D810" i="1"/>
  <c r="E810" i="1" s="1"/>
  <c r="D808" i="1"/>
  <c r="E808" i="1" s="1"/>
  <c r="D806" i="1"/>
  <c r="E806" i="1" s="1"/>
  <c r="D804" i="1"/>
  <c r="E804" i="1" s="1"/>
  <c r="D802" i="1"/>
  <c r="E802" i="1" s="1"/>
  <c r="D800" i="1"/>
  <c r="E800" i="1" s="1"/>
  <c r="D798" i="1"/>
  <c r="E798" i="1" s="1"/>
  <c r="D796" i="1"/>
  <c r="E796" i="1" s="1"/>
  <c r="D794" i="1"/>
  <c r="E794" i="1" s="1"/>
  <c r="D792" i="1"/>
  <c r="E792" i="1" s="1"/>
  <c r="D790" i="1"/>
  <c r="E790" i="1" s="1"/>
  <c r="D788" i="1"/>
  <c r="E788" i="1" s="1"/>
  <c r="D786" i="1"/>
  <c r="E786" i="1" s="1"/>
  <c r="D784" i="1"/>
  <c r="E784" i="1" s="1"/>
  <c r="D782" i="1"/>
  <c r="E782" i="1" s="1"/>
  <c r="D780" i="1"/>
  <c r="E780" i="1" s="1"/>
  <c r="D778" i="1"/>
  <c r="E778" i="1" s="1"/>
  <c r="D776" i="1"/>
  <c r="E776" i="1" s="1"/>
  <c r="D774" i="1"/>
  <c r="E774" i="1" s="1"/>
  <c r="D772" i="1"/>
  <c r="E772" i="1" s="1"/>
  <c r="D770" i="1"/>
  <c r="E770" i="1" s="1"/>
  <c r="D768" i="1"/>
  <c r="E768" i="1" s="1"/>
  <c r="D766" i="1"/>
  <c r="E766" i="1" s="1"/>
  <c r="D764" i="1"/>
  <c r="E764" i="1" s="1"/>
  <c r="D762" i="1"/>
  <c r="E762" i="1" s="1"/>
  <c r="D760" i="1"/>
  <c r="E760" i="1" s="1"/>
  <c r="D758" i="1"/>
  <c r="E758" i="1" s="1"/>
  <c r="D756" i="1"/>
  <c r="E756" i="1" s="1"/>
  <c r="D754" i="1"/>
  <c r="E754" i="1" s="1"/>
  <c r="D752" i="1"/>
  <c r="E752" i="1" s="1"/>
  <c r="D750" i="1"/>
  <c r="E750" i="1" s="1"/>
  <c r="D748" i="1"/>
  <c r="E748" i="1" s="1"/>
  <c r="D746" i="1"/>
  <c r="E746" i="1" s="1"/>
  <c r="D744" i="1"/>
  <c r="E744" i="1" s="1"/>
  <c r="D742" i="1"/>
  <c r="E742" i="1" s="1"/>
  <c r="D740" i="1"/>
  <c r="E740" i="1" s="1"/>
  <c r="D738" i="1"/>
  <c r="E738" i="1" s="1"/>
  <c r="D736" i="1"/>
  <c r="E736" i="1" s="1"/>
  <c r="D734" i="1"/>
  <c r="E734" i="1" s="1"/>
  <c r="D732" i="1"/>
  <c r="E732" i="1" s="1"/>
  <c r="D730" i="1"/>
  <c r="E730" i="1" s="1"/>
  <c r="D728" i="1"/>
  <c r="E728" i="1" s="1"/>
  <c r="D726" i="1"/>
  <c r="E726" i="1" s="1"/>
  <c r="D724" i="1"/>
  <c r="E724" i="1" s="1"/>
  <c r="D722" i="1"/>
  <c r="E722" i="1" s="1"/>
  <c r="D720" i="1"/>
  <c r="E720" i="1" s="1"/>
  <c r="D718" i="1"/>
  <c r="E718" i="1" s="1"/>
  <c r="D716" i="1"/>
  <c r="E716" i="1" s="1"/>
  <c r="D714" i="1"/>
  <c r="E714" i="1" s="1"/>
  <c r="D712" i="1"/>
  <c r="E712" i="1" s="1"/>
  <c r="D710" i="1"/>
  <c r="E710" i="1" s="1"/>
  <c r="D708" i="1"/>
  <c r="E708" i="1" s="1"/>
  <c r="D706" i="1"/>
  <c r="E706" i="1" s="1"/>
  <c r="D704" i="1"/>
  <c r="E704" i="1" s="1"/>
  <c r="D702" i="1"/>
  <c r="E702" i="1" s="1"/>
  <c r="D700" i="1"/>
  <c r="E700" i="1" s="1"/>
  <c r="D698" i="1"/>
  <c r="E698" i="1" s="1"/>
  <c r="D696" i="1"/>
  <c r="E696" i="1" s="1"/>
  <c r="D694" i="1"/>
  <c r="E694" i="1" s="1"/>
  <c r="D692" i="1"/>
  <c r="E692" i="1" s="1"/>
  <c r="D690" i="1"/>
  <c r="E690" i="1" s="1"/>
  <c r="D688" i="1"/>
  <c r="E688" i="1" s="1"/>
  <c r="D686" i="1"/>
  <c r="E686" i="1" s="1"/>
  <c r="D684" i="1"/>
  <c r="E684" i="1" s="1"/>
  <c r="D682" i="1"/>
  <c r="E682" i="1" s="1"/>
  <c r="D680" i="1"/>
  <c r="E680" i="1" s="1"/>
  <c r="D678" i="1"/>
  <c r="E678" i="1" s="1"/>
  <c r="D676" i="1"/>
  <c r="E676" i="1" s="1"/>
  <c r="D674" i="1"/>
  <c r="E674" i="1" s="1"/>
  <c r="D672" i="1"/>
  <c r="E672" i="1" s="1"/>
  <c r="D670" i="1"/>
  <c r="E670" i="1" s="1"/>
  <c r="D668" i="1"/>
  <c r="E668" i="1" s="1"/>
  <c r="D666" i="1"/>
  <c r="E666" i="1" s="1"/>
  <c r="D664" i="1"/>
  <c r="E664" i="1" s="1"/>
  <c r="D662" i="1"/>
  <c r="E662" i="1" s="1"/>
  <c r="D660" i="1"/>
  <c r="E660" i="1" s="1"/>
  <c r="D658" i="1"/>
  <c r="E658" i="1" s="1"/>
  <c r="D656" i="1"/>
  <c r="E656" i="1" s="1"/>
  <c r="D654" i="1"/>
  <c r="E654" i="1" s="1"/>
  <c r="D652" i="1"/>
  <c r="E652" i="1" s="1"/>
  <c r="D650" i="1"/>
  <c r="E650" i="1" s="1"/>
  <c r="D648" i="1"/>
  <c r="E648" i="1" s="1"/>
  <c r="D646" i="1"/>
  <c r="E646" i="1" s="1"/>
  <c r="D644" i="1"/>
  <c r="E644" i="1" s="1"/>
  <c r="D642" i="1"/>
  <c r="E642" i="1" s="1"/>
  <c r="D640" i="1"/>
  <c r="E640" i="1" s="1"/>
  <c r="D638" i="1"/>
  <c r="E638" i="1" s="1"/>
  <c r="D636" i="1"/>
  <c r="E636" i="1" s="1"/>
  <c r="D634" i="1"/>
  <c r="E634" i="1" s="1"/>
  <c r="D632" i="1"/>
  <c r="E632" i="1" s="1"/>
  <c r="D630" i="1"/>
  <c r="E630" i="1" s="1"/>
  <c r="D628" i="1"/>
  <c r="E628" i="1" s="1"/>
  <c r="D626" i="1"/>
  <c r="E626" i="1" s="1"/>
  <c r="D624" i="1"/>
  <c r="E624" i="1" s="1"/>
  <c r="D622" i="1"/>
  <c r="E622" i="1" s="1"/>
  <c r="D620" i="1"/>
  <c r="E620" i="1" s="1"/>
  <c r="D618" i="1"/>
  <c r="E618" i="1" s="1"/>
  <c r="D616" i="1"/>
  <c r="E616" i="1" s="1"/>
  <c r="D614" i="1"/>
  <c r="E614" i="1" s="1"/>
  <c r="D612" i="1"/>
  <c r="E612" i="1" s="1"/>
  <c r="D610" i="1"/>
  <c r="E610" i="1" s="1"/>
  <c r="D608" i="1"/>
  <c r="E608" i="1" s="1"/>
  <c r="D606" i="1"/>
  <c r="E606" i="1" s="1"/>
  <c r="D604" i="1"/>
  <c r="E604" i="1" s="1"/>
  <c r="D602" i="1"/>
  <c r="E602" i="1" s="1"/>
  <c r="D600" i="1"/>
  <c r="E600" i="1" s="1"/>
  <c r="D598" i="1"/>
  <c r="E598" i="1" s="1"/>
  <c r="D596" i="1"/>
  <c r="E596" i="1" s="1"/>
  <c r="D594" i="1"/>
  <c r="E594" i="1" s="1"/>
  <c r="D592" i="1"/>
  <c r="E592" i="1" s="1"/>
  <c r="D590" i="1"/>
  <c r="E590" i="1" s="1"/>
  <c r="D588" i="1"/>
  <c r="E588" i="1" s="1"/>
  <c r="D586" i="1"/>
  <c r="E586" i="1" s="1"/>
  <c r="D584" i="1"/>
  <c r="E584" i="1" s="1"/>
  <c r="D582" i="1"/>
  <c r="E582" i="1" s="1"/>
  <c r="D580" i="1"/>
  <c r="E580" i="1" s="1"/>
  <c r="D578" i="1"/>
  <c r="E578" i="1" s="1"/>
  <c r="D576" i="1"/>
  <c r="E576" i="1" s="1"/>
  <c r="D574" i="1"/>
  <c r="E574" i="1" s="1"/>
  <c r="D572" i="1"/>
  <c r="E572" i="1" s="1"/>
  <c r="D570" i="1"/>
  <c r="E570" i="1" s="1"/>
  <c r="D568" i="1"/>
  <c r="E568" i="1" s="1"/>
  <c r="D566" i="1"/>
  <c r="E566" i="1" s="1"/>
  <c r="D564" i="1"/>
  <c r="E564" i="1" s="1"/>
  <c r="D562" i="1"/>
  <c r="E562" i="1" s="1"/>
  <c r="D560" i="1"/>
  <c r="E560" i="1" s="1"/>
  <c r="D558" i="1"/>
  <c r="E558" i="1" s="1"/>
  <c r="D556" i="1"/>
  <c r="E556" i="1" s="1"/>
  <c r="D554" i="1"/>
  <c r="E554" i="1" s="1"/>
  <c r="D552" i="1"/>
  <c r="E552" i="1" s="1"/>
  <c r="D550" i="1"/>
  <c r="E550" i="1" s="1"/>
  <c r="D548" i="1"/>
  <c r="E548" i="1" s="1"/>
  <c r="D546" i="1"/>
  <c r="E546" i="1" s="1"/>
  <c r="D544" i="1"/>
  <c r="E544" i="1" s="1"/>
  <c r="D542" i="1"/>
  <c r="E542" i="1" s="1"/>
  <c r="D540" i="1"/>
  <c r="E540" i="1" s="1"/>
  <c r="D538" i="1"/>
  <c r="E538" i="1" s="1"/>
  <c r="D536" i="1"/>
  <c r="E536" i="1" s="1"/>
  <c r="D534" i="1"/>
  <c r="E534" i="1" s="1"/>
  <c r="D532" i="1"/>
  <c r="E532" i="1" s="1"/>
  <c r="D530" i="1"/>
  <c r="E530" i="1" s="1"/>
  <c r="D528" i="1"/>
  <c r="E528" i="1" s="1"/>
  <c r="D526" i="1"/>
  <c r="E526" i="1" s="1"/>
  <c r="D524" i="1"/>
  <c r="E524" i="1" s="1"/>
  <c r="D522" i="1"/>
  <c r="E522" i="1" s="1"/>
  <c r="D520" i="1"/>
  <c r="E520" i="1" s="1"/>
  <c r="D518" i="1"/>
  <c r="E518" i="1" s="1"/>
  <c r="D516" i="1"/>
  <c r="E516" i="1" s="1"/>
  <c r="D514" i="1"/>
  <c r="E514" i="1" s="1"/>
  <c r="D512" i="1"/>
  <c r="E512" i="1" s="1"/>
  <c r="D510" i="1"/>
  <c r="E510" i="1" s="1"/>
  <c r="D508" i="1"/>
  <c r="E508" i="1" s="1"/>
  <c r="D506" i="1"/>
  <c r="E506" i="1" s="1"/>
  <c r="D504" i="1"/>
  <c r="E504" i="1" s="1"/>
  <c r="D502" i="1"/>
  <c r="E502" i="1" s="1"/>
  <c r="D500" i="1"/>
  <c r="E500" i="1" s="1"/>
  <c r="D498" i="1"/>
  <c r="E498" i="1" s="1"/>
  <c r="D496" i="1"/>
  <c r="E496" i="1" s="1"/>
  <c r="D494" i="1"/>
  <c r="E494" i="1" s="1"/>
  <c r="D492" i="1"/>
  <c r="E492" i="1" s="1"/>
  <c r="D490" i="1"/>
  <c r="E490" i="1" s="1"/>
  <c r="D488" i="1"/>
  <c r="E488" i="1" s="1"/>
  <c r="D486" i="1"/>
  <c r="E486" i="1" s="1"/>
  <c r="D484" i="1"/>
  <c r="E484" i="1" s="1"/>
  <c r="D482" i="1"/>
  <c r="E482" i="1" s="1"/>
  <c r="D480" i="1"/>
  <c r="E480" i="1" s="1"/>
  <c r="D478" i="1"/>
  <c r="E478" i="1" s="1"/>
  <c r="D476" i="1"/>
  <c r="E476" i="1" s="1"/>
  <c r="D474" i="1"/>
  <c r="E474" i="1" s="1"/>
  <c r="D472" i="1"/>
  <c r="E472" i="1" s="1"/>
  <c r="D470" i="1"/>
  <c r="E470" i="1" s="1"/>
  <c r="D468" i="1"/>
  <c r="E468" i="1" s="1"/>
  <c r="D466" i="1"/>
  <c r="E466" i="1" s="1"/>
  <c r="D464" i="1"/>
  <c r="E464" i="1" s="1"/>
  <c r="D462" i="1"/>
  <c r="E462" i="1" s="1"/>
  <c r="D458" i="1"/>
  <c r="E458" i="1" s="1"/>
  <c r="D456" i="1"/>
  <c r="E456" i="1" s="1"/>
  <c r="D454" i="1"/>
  <c r="E454" i="1" s="1"/>
  <c r="D452" i="1"/>
  <c r="E452" i="1" s="1"/>
  <c r="D450" i="1"/>
  <c r="E450" i="1" s="1"/>
  <c r="D448" i="1"/>
  <c r="E448" i="1" s="1"/>
  <c r="D446" i="1"/>
  <c r="E446" i="1" s="1"/>
  <c r="D444" i="1"/>
  <c r="E444" i="1" s="1"/>
  <c r="D442" i="1"/>
  <c r="E442" i="1" s="1"/>
  <c r="D440" i="1"/>
  <c r="E440" i="1" s="1"/>
  <c r="D438" i="1"/>
  <c r="E438" i="1" s="1"/>
  <c r="D436" i="1"/>
  <c r="E436" i="1" s="1"/>
  <c r="D434" i="1"/>
  <c r="E434" i="1" s="1"/>
  <c r="D432" i="1"/>
  <c r="E432" i="1" s="1"/>
  <c r="D430" i="1"/>
  <c r="E430" i="1" s="1"/>
  <c r="D428" i="1"/>
  <c r="E428" i="1" s="1"/>
  <c r="D426" i="1"/>
  <c r="E426" i="1" s="1"/>
  <c r="D424" i="1"/>
  <c r="E424" i="1" s="1"/>
  <c r="D422" i="1"/>
  <c r="E422" i="1" s="1"/>
  <c r="D420" i="1"/>
  <c r="E420" i="1" s="1"/>
  <c r="D418" i="1"/>
  <c r="E418" i="1" s="1"/>
  <c r="D416" i="1"/>
  <c r="E416" i="1" s="1"/>
  <c r="D414" i="1"/>
  <c r="E414" i="1" s="1"/>
  <c r="D412" i="1"/>
  <c r="E412" i="1" s="1"/>
  <c r="D410" i="1"/>
  <c r="E410" i="1" s="1"/>
  <c r="D408" i="1"/>
  <c r="E408" i="1" s="1"/>
  <c r="D406" i="1"/>
  <c r="E406" i="1" s="1"/>
  <c r="D4" i="1"/>
  <c r="E4" i="1" s="1"/>
  <c r="D1001" i="1"/>
  <c r="E1001" i="1" s="1"/>
  <c r="D999" i="1"/>
  <c r="E999" i="1" s="1"/>
  <c r="D997" i="1"/>
  <c r="E997" i="1" s="1"/>
  <c r="D995" i="1"/>
  <c r="E995" i="1" s="1"/>
  <c r="D993" i="1"/>
  <c r="E993" i="1" s="1"/>
  <c r="D991" i="1"/>
  <c r="E991" i="1" s="1"/>
  <c r="D989" i="1"/>
  <c r="E989" i="1" s="1"/>
  <c r="D987" i="1"/>
  <c r="E987" i="1" s="1"/>
  <c r="D985" i="1"/>
  <c r="E985" i="1" s="1"/>
  <c r="D983" i="1"/>
  <c r="E983" i="1" s="1"/>
  <c r="D981" i="1"/>
  <c r="E981" i="1" s="1"/>
  <c r="D979" i="1"/>
  <c r="E979" i="1" s="1"/>
  <c r="D977" i="1"/>
  <c r="E977" i="1" s="1"/>
  <c r="D975" i="1"/>
  <c r="E975" i="1" s="1"/>
  <c r="D973" i="1"/>
  <c r="E973" i="1" s="1"/>
  <c r="D971" i="1"/>
  <c r="E971" i="1" s="1"/>
  <c r="D969" i="1"/>
  <c r="E969" i="1" s="1"/>
  <c r="D967" i="1"/>
  <c r="E967" i="1" s="1"/>
  <c r="D965" i="1"/>
  <c r="E965" i="1" s="1"/>
  <c r="D963" i="1"/>
  <c r="E963" i="1" s="1"/>
  <c r="D961" i="1"/>
  <c r="E961" i="1" s="1"/>
  <c r="D959" i="1"/>
  <c r="E959" i="1" s="1"/>
  <c r="D957" i="1"/>
  <c r="E957" i="1" s="1"/>
  <c r="D955" i="1"/>
  <c r="E955" i="1" s="1"/>
  <c r="D953" i="1"/>
  <c r="E953" i="1" s="1"/>
  <c r="D951" i="1"/>
  <c r="E951" i="1" s="1"/>
  <c r="D949" i="1"/>
  <c r="E949" i="1" s="1"/>
  <c r="D947" i="1"/>
  <c r="E947" i="1" s="1"/>
  <c r="D945" i="1"/>
  <c r="E945" i="1" s="1"/>
  <c r="D943" i="1"/>
  <c r="E943" i="1" s="1"/>
  <c r="D941" i="1"/>
  <c r="E941" i="1" s="1"/>
  <c r="D939" i="1"/>
  <c r="E939" i="1" s="1"/>
  <c r="D937" i="1"/>
  <c r="E937" i="1" s="1"/>
  <c r="D935" i="1"/>
  <c r="E935" i="1" s="1"/>
  <c r="D933" i="1"/>
  <c r="E933" i="1" s="1"/>
  <c r="D931" i="1"/>
  <c r="E931" i="1" s="1"/>
  <c r="D929" i="1"/>
  <c r="E929" i="1" s="1"/>
  <c r="D927" i="1"/>
  <c r="E927" i="1" s="1"/>
  <c r="D925" i="1"/>
  <c r="E925" i="1" s="1"/>
  <c r="D923" i="1"/>
  <c r="E923" i="1" s="1"/>
  <c r="D921" i="1"/>
  <c r="E921" i="1" s="1"/>
  <c r="D919" i="1"/>
  <c r="E919" i="1" s="1"/>
  <c r="D917" i="1"/>
  <c r="E917" i="1" s="1"/>
  <c r="D915" i="1"/>
  <c r="E915" i="1" s="1"/>
  <c r="D913" i="1"/>
  <c r="E913" i="1" s="1"/>
  <c r="D911" i="1"/>
  <c r="E911" i="1" s="1"/>
  <c r="D909" i="1"/>
  <c r="E909" i="1" s="1"/>
  <c r="D907" i="1"/>
  <c r="E907" i="1" s="1"/>
  <c r="D905" i="1"/>
  <c r="E905" i="1" s="1"/>
  <c r="D903" i="1"/>
  <c r="E903" i="1" s="1"/>
  <c r="D901" i="1"/>
  <c r="E901" i="1" s="1"/>
  <c r="D899" i="1"/>
  <c r="E899" i="1" s="1"/>
  <c r="D897" i="1"/>
  <c r="E897" i="1" s="1"/>
  <c r="D895" i="1"/>
  <c r="E895" i="1" s="1"/>
  <c r="D893" i="1"/>
  <c r="E893" i="1" s="1"/>
  <c r="D891" i="1"/>
  <c r="E891" i="1" s="1"/>
  <c r="D889" i="1"/>
  <c r="E889" i="1" s="1"/>
  <c r="D887" i="1"/>
  <c r="E887" i="1" s="1"/>
  <c r="D885" i="1"/>
  <c r="E885" i="1" s="1"/>
  <c r="D883" i="1"/>
  <c r="E883" i="1" s="1"/>
  <c r="D881" i="1"/>
  <c r="E881" i="1" s="1"/>
  <c r="D879" i="1"/>
  <c r="E879" i="1" s="1"/>
  <c r="D877" i="1"/>
  <c r="E877" i="1" s="1"/>
  <c r="D875" i="1"/>
  <c r="E875" i="1" s="1"/>
  <c r="D873" i="1"/>
  <c r="E873" i="1" s="1"/>
  <c r="D871" i="1"/>
  <c r="E871" i="1" s="1"/>
  <c r="D869" i="1"/>
  <c r="E869" i="1" s="1"/>
  <c r="D867" i="1"/>
  <c r="E867" i="1" s="1"/>
  <c r="D865" i="1"/>
  <c r="E865" i="1" s="1"/>
  <c r="D863" i="1"/>
  <c r="E863" i="1" s="1"/>
  <c r="D861" i="1"/>
  <c r="E861" i="1" s="1"/>
  <c r="D404" i="1"/>
  <c r="E404" i="1" s="1"/>
  <c r="D402" i="1"/>
  <c r="E402" i="1" s="1"/>
  <c r="D400" i="1"/>
  <c r="E400" i="1" s="1"/>
  <c r="D398" i="1"/>
  <c r="E398" i="1" s="1"/>
  <c r="D396" i="1"/>
  <c r="E396" i="1" s="1"/>
  <c r="D394" i="1"/>
  <c r="E394" i="1" s="1"/>
  <c r="D392" i="1"/>
  <c r="E392" i="1" s="1"/>
  <c r="D390" i="1"/>
  <c r="E390" i="1" s="1"/>
  <c r="D388" i="1"/>
  <c r="E388" i="1" s="1"/>
  <c r="D386" i="1"/>
  <c r="E386" i="1" s="1"/>
  <c r="D384" i="1"/>
  <c r="E384" i="1" s="1"/>
  <c r="D382" i="1"/>
  <c r="E382" i="1" s="1"/>
  <c r="D380" i="1"/>
  <c r="E380" i="1" s="1"/>
  <c r="D378" i="1"/>
  <c r="E378" i="1" s="1"/>
  <c r="D376" i="1"/>
  <c r="E376" i="1" s="1"/>
  <c r="D374" i="1"/>
  <c r="E374" i="1" s="1"/>
  <c r="D372" i="1"/>
  <c r="E372" i="1" s="1"/>
  <c r="D370" i="1"/>
  <c r="E370" i="1" s="1"/>
  <c r="D368" i="1"/>
  <c r="E368" i="1" s="1"/>
  <c r="D366" i="1"/>
  <c r="E366" i="1" s="1"/>
  <c r="D364" i="1"/>
  <c r="E364" i="1" s="1"/>
  <c r="D362" i="1"/>
  <c r="E362" i="1" s="1"/>
  <c r="D360" i="1"/>
  <c r="E360" i="1" s="1"/>
  <c r="D358" i="1"/>
  <c r="E358" i="1" s="1"/>
  <c r="D356" i="1"/>
  <c r="E356" i="1" s="1"/>
  <c r="D354" i="1"/>
  <c r="E354" i="1" s="1"/>
  <c r="D352" i="1"/>
  <c r="E352" i="1" s="1"/>
  <c r="D350" i="1"/>
  <c r="E350" i="1" s="1"/>
  <c r="D348" i="1"/>
  <c r="E348" i="1" s="1"/>
  <c r="D346" i="1"/>
  <c r="E346" i="1" s="1"/>
  <c r="D344" i="1"/>
  <c r="E344" i="1" s="1"/>
  <c r="D342" i="1"/>
  <c r="E342" i="1" s="1"/>
  <c r="D340" i="1"/>
  <c r="E340" i="1" s="1"/>
  <c r="D338" i="1"/>
  <c r="E338" i="1" s="1"/>
  <c r="D336" i="1"/>
  <c r="E336" i="1" s="1"/>
  <c r="D334" i="1"/>
  <c r="E334" i="1" s="1"/>
  <c r="D332" i="1"/>
  <c r="E332" i="1" s="1"/>
  <c r="D330" i="1"/>
  <c r="E330" i="1" s="1"/>
  <c r="D328" i="1"/>
  <c r="E328" i="1" s="1"/>
  <c r="D326" i="1"/>
  <c r="E326" i="1" s="1"/>
  <c r="D324" i="1"/>
  <c r="E324" i="1" s="1"/>
  <c r="D322" i="1"/>
  <c r="E322" i="1" s="1"/>
  <c r="D320" i="1"/>
  <c r="E320" i="1" s="1"/>
  <c r="D318" i="1"/>
  <c r="E318" i="1" s="1"/>
  <c r="D316" i="1"/>
  <c r="E316" i="1" s="1"/>
  <c r="D314" i="1"/>
  <c r="E314" i="1" s="1"/>
  <c r="D312" i="1"/>
  <c r="E312" i="1" s="1"/>
  <c r="D310" i="1"/>
  <c r="E310" i="1" s="1"/>
  <c r="D308" i="1"/>
  <c r="E308" i="1" s="1"/>
  <c r="D306" i="1"/>
  <c r="E306" i="1" s="1"/>
  <c r="D304" i="1"/>
  <c r="E304" i="1" s="1"/>
  <c r="D302" i="1"/>
  <c r="E302" i="1" s="1"/>
  <c r="D300" i="1"/>
  <c r="E300" i="1" s="1"/>
  <c r="D298" i="1"/>
  <c r="E298" i="1" s="1"/>
  <c r="D296" i="1"/>
  <c r="E296" i="1" s="1"/>
  <c r="D294" i="1"/>
  <c r="E294" i="1" s="1"/>
  <c r="D292" i="1"/>
  <c r="E292" i="1" s="1"/>
  <c r="D290" i="1"/>
  <c r="E290" i="1" s="1"/>
  <c r="D288" i="1"/>
  <c r="E288" i="1" s="1"/>
  <c r="D286" i="1"/>
  <c r="E286" i="1" s="1"/>
  <c r="D284" i="1"/>
  <c r="E284" i="1" s="1"/>
  <c r="D282" i="1"/>
  <c r="E282" i="1" s="1"/>
  <c r="D280" i="1"/>
  <c r="E280" i="1" s="1"/>
  <c r="D278" i="1"/>
  <c r="E278" i="1" s="1"/>
  <c r="D276" i="1"/>
  <c r="E276" i="1" s="1"/>
  <c r="D274" i="1"/>
  <c r="E274" i="1" s="1"/>
  <c r="D272" i="1"/>
  <c r="E272" i="1" s="1"/>
  <c r="D270" i="1"/>
  <c r="E270" i="1" s="1"/>
  <c r="D268" i="1"/>
  <c r="E268" i="1" s="1"/>
  <c r="D266" i="1"/>
  <c r="E266" i="1" s="1"/>
  <c r="D264" i="1"/>
  <c r="E264" i="1" s="1"/>
  <c r="D262" i="1"/>
  <c r="E262" i="1" s="1"/>
  <c r="D260" i="1"/>
  <c r="E260" i="1" s="1"/>
  <c r="D258" i="1"/>
  <c r="E258" i="1" s="1"/>
  <c r="D256" i="1"/>
  <c r="E256" i="1" s="1"/>
  <c r="D254" i="1"/>
  <c r="E254" i="1" s="1"/>
  <c r="D252" i="1"/>
  <c r="E252" i="1" s="1"/>
  <c r="D250" i="1"/>
  <c r="E250" i="1" s="1"/>
  <c r="D248" i="1"/>
  <c r="E248" i="1" s="1"/>
  <c r="D246" i="1"/>
  <c r="E246" i="1" s="1"/>
  <c r="D244" i="1"/>
  <c r="E244" i="1" s="1"/>
  <c r="D242" i="1"/>
  <c r="E242" i="1" s="1"/>
  <c r="D240" i="1"/>
  <c r="E240" i="1" s="1"/>
  <c r="D238" i="1"/>
  <c r="E238" i="1" s="1"/>
  <c r="D859" i="1"/>
  <c r="E859" i="1" s="1"/>
  <c r="D857" i="1"/>
  <c r="E857" i="1" s="1"/>
  <c r="D855" i="1"/>
  <c r="E855" i="1" s="1"/>
  <c r="D853" i="1"/>
  <c r="E853" i="1" s="1"/>
  <c r="D851" i="1"/>
  <c r="E851" i="1" s="1"/>
  <c r="D849" i="1"/>
  <c r="E849" i="1" s="1"/>
  <c r="D847" i="1"/>
  <c r="E847" i="1" s="1"/>
  <c r="D460" i="1"/>
  <c r="E460" i="1" s="1"/>
  <c r="D845" i="1"/>
  <c r="E845" i="1" s="1"/>
  <c r="D843" i="1"/>
  <c r="E843" i="1" s="1"/>
  <c r="D841" i="1"/>
  <c r="E841" i="1" s="1"/>
  <c r="D839" i="1"/>
  <c r="E839" i="1" s="1"/>
  <c r="D837" i="1"/>
  <c r="E837" i="1" s="1"/>
  <c r="D835" i="1"/>
  <c r="E835" i="1" s="1"/>
  <c r="D833" i="1"/>
  <c r="E833" i="1" s="1"/>
  <c r="D831" i="1"/>
  <c r="E831" i="1" s="1"/>
  <c r="D829" i="1"/>
  <c r="E829" i="1" s="1"/>
  <c r="D827" i="1"/>
  <c r="E827" i="1" s="1"/>
  <c r="D825" i="1"/>
  <c r="E825" i="1" s="1"/>
  <c r="D823" i="1"/>
  <c r="E823" i="1" s="1"/>
  <c r="D821" i="1"/>
  <c r="E821" i="1" s="1"/>
  <c r="D819" i="1"/>
  <c r="E819" i="1" s="1"/>
  <c r="D817" i="1"/>
  <c r="E817" i="1" s="1"/>
  <c r="D815" i="1"/>
  <c r="E815" i="1" s="1"/>
  <c r="D813" i="1"/>
  <c r="E813" i="1" s="1"/>
  <c r="D811" i="1"/>
  <c r="E811" i="1" s="1"/>
  <c r="D809" i="1"/>
  <c r="E809" i="1" s="1"/>
  <c r="D807" i="1"/>
  <c r="E807" i="1" s="1"/>
  <c r="D805" i="1"/>
  <c r="E805" i="1" s="1"/>
  <c r="D803" i="1"/>
  <c r="E803" i="1" s="1"/>
  <c r="D801" i="1"/>
  <c r="E801" i="1" s="1"/>
  <c r="D799" i="1"/>
  <c r="E799" i="1" s="1"/>
  <c r="D797" i="1"/>
  <c r="E797" i="1" s="1"/>
  <c r="D795" i="1"/>
  <c r="E795" i="1" s="1"/>
  <c r="D793" i="1"/>
  <c r="E793" i="1" s="1"/>
  <c r="D791" i="1"/>
  <c r="E791" i="1" s="1"/>
  <c r="D789" i="1"/>
  <c r="E789" i="1" s="1"/>
  <c r="D787" i="1"/>
  <c r="E787" i="1" s="1"/>
  <c r="D785" i="1"/>
  <c r="E785" i="1" s="1"/>
  <c r="D783" i="1"/>
  <c r="E783" i="1" s="1"/>
  <c r="D781" i="1"/>
  <c r="E781" i="1" s="1"/>
  <c r="D779" i="1"/>
  <c r="E779" i="1" s="1"/>
  <c r="D777" i="1"/>
  <c r="E777" i="1" s="1"/>
  <c r="D775" i="1"/>
  <c r="E775" i="1" s="1"/>
  <c r="D773" i="1"/>
  <c r="E773" i="1" s="1"/>
  <c r="D771" i="1"/>
  <c r="E771" i="1" s="1"/>
  <c r="D769" i="1"/>
  <c r="E769" i="1" s="1"/>
  <c r="D767" i="1"/>
  <c r="E767" i="1" s="1"/>
  <c r="D765" i="1"/>
  <c r="E765" i="1" s="1"/>
  <c r="D763" i="1"/>
  <c r="E763" i="1" s="1"/>
  <c r="D761" i="1"/>
  <c r="E761" i="1" s="1"/>
  <c r="D759" i="1"/>
  <c r="E759" i="1" s="1"/>
  <c r="D757" i="1"/>
  <c r="E757" i="1" s="1"/>
  <c r="D755" i="1"/>
  <c r="E755" i="1" s="1"/>
  <c r="D753" i="1"/>
  <c r="E753" i="1" s="1"/>
  <c r="D751" i="1"/>
  <c r="E751" i="1" s="1"/>
  <c r="D749" i="1"/>
  <c r="E749" i="1" s="1"/>
  <c r="D747" i="1"/>
  <c r="E747" i="1" s="1"/>
  <c r="D745" i="1"/>
  <c r="E745" i="1" s="1"/>
  <c r="D743" i="1"/>
  <c r="E743" i="1" s="1"/>
  <c r="D741" i="1"/>
  <c r="E741" i="1" s="1"/>
  <c r="D739" i="1"/>
  <c r="E739" i="1" s="1"/>
  <c r="D737" i="1"/>
  <c r="E737" i="1" s="1"/>
  <c r="D735" i="1"/>
  <c r="E735" i="1" s="1"/>
  <c r="D733" i="1"/>
  <c r="E733" i="1" s="1"/>
  <c r="D731" i="1"/>
  <c r="E731" i="1" s="1"/>
  <c r="D729" i="1"/>
  <c r="E729" i="1" s="1"/>
  <c r="D727" i="1"/>
  <c r="E727" i="1" s="1"/>
  <c r="D725" i="1"/>
  <c r="E725" i="1" s="1"/>
  <c r="D723" i="1"/>
  <c r="E723" i="1" s="1"/>
  <c r="D721" i="1"/>
  <c r="E721" i="1" s="1"/>
  <c r="D719" i="1"/>
  <c r="E719" i="1" s="1"/>
  <c r="D717" i="1"/>
  <c r="E717" i="1" s="1"/>
  <c r="D715" i="1"/>
  <c r="E715" i="1" s="1"/>
  <c r="D713" i="1"/>
  <c r="E713" i="1" s="1"/>
  <c r="D711" i="1"/>
  <c r="E711" i="1" s="1"/>
  <c r="D709" i="1"/>
  <c r="E709" i="1" s="1"/>
  <c r="D707" i="1"/>
  <c r="E707" i="1" s="1"/>
  <c r="D705" i="1"/>
  <c r="E705" i="1" s="1"/>
  <c r="D703" i="1"/>
  <c r="E703" i="1" s="1"/>
  <c r="D701" i="1"/>
  <c r="E701" i="1" s="1"/>
  <c r="D699" i="1"/>
  <c r="E699" i="1" s="1"/>
  <c r="D697" i="1"/>
  <c r="E697" i="1" s="1"/>
  <c r="D695" i="1"/>
  <c r="E695" i="1" s="1"/>
  <c r="D693" i="1"/>
  <c r="E693" i="1" s="1"/>
  <c r="D691" i="1"/>
  <c r="E691" i="1" s="1"/>
  <c r="D689" i="1"/>
  <c r="E689" i="1" s="1"/>
  <c r="D687" i="1"/>
  <c r="E687" i="1" s="1"/>
  <c r="D685" i="1"/>
  <c r="E685" i="1" s="1"/>
  <c r="D683" i="1"/>
  <c r="E683" i="1" s="1"/>
  <c r="D681" i="1"/>
  <c r="E681" i="1" s="1"/>
  <c r="D679" i="1"/>
  <c r="E679" i="1" s="1"/>
  <c r="D677" i="1"/>
  <c r="E677" i="1" s="1"/>
  <c r="D236" i="1"/>
  <c r="E236" i="1" s="1"/>
  <c r="D234" i="1"/>
  <c r="E234" i="1" s="1"/>
  <c r="D232" i="1"/>
  <c r="E232" i="1" s="1"/>
  <c r="D230" i="1"/>
  <c r="E230" i="1" s="1"/>
  <c r="D228" i="1"/>
  <c r="E228" i="1" s="1"/>
  <c r="D226" i="1"/>
  <c r="E226" i="1" s="1"/>
  <c r="D224" i="1"/>
  <c r="E224" i="1" s="1"/>
  <c r="D222" i="1"/>
  <c r="E222" i="1" s="1"/>
  <c r="D220" i="1"/>
  <c r="E220" i="1" s="1"/>
  <c r="D218" i="1"/>
  <c r="E218" i="1" s="1"/>
  <c r="D216" i="1"/>
  <c r="E216" i="1" s="1"/>
  <c r="D214" i="1"/>
  <c r="E214" i="1" s="1"/>
  <c r="D212" i="1"/>
  <c r="E212" i="1" s="1"/>
  <c r="D100" i="1"/>
  <c r="E100" i="1" s="1"/>
  <c r="D98" i="1"/>
  <c r="E98" i="1" s="1"/>
  <c r="D96" i="1"/>
  <c r="E96" i="1" s="1"/>
  <c r="D94" i="1"/>
  <c r="E94" i="1" s="1"/>
  <c r="D92" i="1"/>
  <c r="E92" i="1" s="1"/>
  <c r="D90" i="1"/>
  <c r="E90" i="1" s="1"/>
  <c r="D88" i="1"/>
  <c r="E88" i="1" s="1"/>
  <c r="D86" i="1"/>
  <c r="E86" i="1" s="1"/>
  <c r="D84" i="1"/>
  <c r="E84" i="1" s="1"/>
  <c r="D82" i="1"/>
  <c r="E82" i="1" s="1"/>
  <c r="D80" i="1"/>
  <c r="E80" i="1" s="1"/>
  <c r="D78" i="1"/>
  <c r="E78" i="1" s="1"/>
  <c r="D76" i="1"/>
  <c r="E76" i="1" s="1"/>
  <c r="D74" i="1"/>
  <c r="E74" i="1" s="1"/>
  <c r="D72" i="1"/>
  <c r="E72" i="1" s="1"/>
  <c r="D70" i="1"/>
  <c r="E70" i="1" s="1"/>
  <c r="D68" i="1"/>
  <c r="E68" i="1" s="1"/>
  <c r="D66" i="1"/>
  <c r="E66" i="1" s="1"/>
  <c r="D64" i="1"/>
  <c r="E64" i="1" s="1"/>
  <c r="D62" i="1"/>
  <c r="E62" i="1" s="1"/>
  <c r="D60" i="1"/>
  <c r="E60" i="1" s="1"/>
  <c r="D58" i="1"/>
  <c r="E58" i="1" s="1"/>
  <c r="D56" i="1"/>
  <c r="E56" i="1" s="1"/>
  <c r="D54" i="1"/>
  <c r="E54" i="1" s="1"/>
  <c r="D52" i="1"/>
  <c r="E52" i="1" s="1"/>
  <c r="D50" i="1"/>
  <c r="E50" i="1" s="1"/>
  <c r="D48" i="1"/>
  <c r="E48" i="1" s="1"/>
  <c r="D46" i="1"/>
  <c r="E46" i="1" s="1"/>
  <c r="D44" i="1"/>
  <c r="E44" i="1" s="1"/>
  <c r="D42" i="1"/>
  <c r="E42" i="1" s="1"/>
  <c r="D40" i="1"/>
  <c r="E40" i="1" s="1"/>
  <c r="D38" i="1"/>
  <c r="E38" i="1" s="1"/>
  <c r="D36" i="1"/>
  <c r="E36" i="1" s="1"/>
  <c r="D34" i="1"/>
  <c r="E34" i="1" s="1"/>
  <c r="D32" i="1"/>
  <c r="E32" i="1" s="1"/>
  <c r="D30" i="1"/>
  <c r="E30" i="1" s="1"/>
  <c r="D28" i="1"/>
  <c r="E28" i="1" s="1"/>
  <c r="D26" i="1"/>
  <c r="E26" i="1" s="1"/>
  <c r="D24" i="1"/>
  <c r="E24" i="1" s="1"/>
  <c r="D22" i="1"/>
  <c r="E22" i="1" s="1"/>
  <c r="D20" i="1"/>
  <c r="E20" i="1" s="1"/>
  <c r="D18" i="1"/>
  <c r="E18" i="1" s="1"/>
  <c r="D16" i="1"/>
  <c r="E16" i="1" s="1"/>
  <c r="D14" i="1"/>
  <c r="E14" i="1" s="1"/>
  <c r="D12" i="1"/>
  <c r="E12" i="1" s="1"/>
  <c r="D10" i="1"/>
  <c r="E10" i="1" s="1"/>
  <c r="D8" i="1"/>
  <c r="E8" i="1" s="1"/>
  <c r="D6" i="1"/>
  <c r="E6" i="1" s="1"/>
  <c r="D675" i="1"/>
  <c r="E675" i="1" s="1"/>
  <c r="D673" i="1"/>
  <c r="E673" i="1" s="1"/>
  <c r="D671" i="1"/>
  <c r="E671" i="1" s="1"/>
  <c r="D669" i="1"/>
  <c r="E669" i="1" s="1"/>
  <c r="D667" i="1"/>
  <c r="E667" i="1" s="1"/>
  <c r="D665" i="1"/>
  <c r="E665" i="1" s="1"/>
  <c r="D663" i="1"/>
  <c r="E663" i="1" s="1"/>
  <c r="D661" i="1"/>
  <c r="E661" i="1" s="1"/>
  <c r="D659" i="1"/>
  <c r="E659" i="1" s="1"/>
  <c r="D657" i="1"/>
  <c r="E657" i="1" s="1"/>
  <c r="D655" i="1"/>
  <c r="E655" i="1" s="1"/>
  <c r="D653" i="1"/>
  <c r="E653" i="1" s="1"/>
  <c r="D651" i="1"/>
  <c r="E651" i="1" s="1"/>
  <c r="D649" i="1"/>
  <c r="E649" i="1" s="1"/>
  <c r="D647" i="1"/>
  <c r="E647" i="1" s="1"/>
  <c r="D645" i="1"/>
  <c r="E645" i="1" s="1"/>
  <c r="D643" i="1"/>
  <c r="E643" i="1" s="1"/>
  <c r="D641" i="1"/>
  <c r="E641" i="1" s="1"/>
  <c r="D639" i="1"/>
  <c r="E639" i="1" s="1"/>
  <c r="D637" i="1"/>
  <c r="E637" i="1" s="1"/>
  <c r="D635" i="1"/>
  <c r="E635" i="1" s="1"/>
  <c r="D633" i="1"/>
  <c r="E633" i="1" s="1"/>
  <c r="D631" i="1"/>
  <c r="E631" i="1" s="1"/>
  <c r="D629" i="1"/>
  <c r="E629" i="1" s="1"/>
  <c r="D627" i="1"/>
  <c r="E627" i="1" s="1"/>
  <c r="D625" i="1"/>
  <c r="E625" i="1" s="1"/>
  <c r="D623" i="1"/>
  <c r="E623" i="1" s="1"/>
  <c r="D621" i="1"/>
  <c r="E621" i="1" s="1"/>
  <c r="D619" i="1"/>
  <c r="E619" i="1" s="1"/>
  <c r="D617" i="1"/>
  <c r="E617" i="1" s="1"/>
  <c r="D615" i="1"/>
  <c r="E615" i="1" s="1"/>
  <c r="D613" i="1"/>
  <c r="E613" i="1" s="1"/>
  <c r="D611" i="1"/>
  <c r="E611" i="1" s="1"/>
  <c r="D609" i="1"/>
  <c r="E609" i="1" s="1"/>
  <c r="D607" i="1"/>
  <c r="E607" i="1" s="1"/>
  <c r="D605" i="1"/>
  <c r="E605" i="1" s="1"/>
  <c r="D603" i="1"/>
  <c r="E603" i="1" s="1"/>
  <c r="D601" i="1"/>
  <c r="E601" i="1" s="1"/>
  <c r="D599" i="1"/>
  <c r="E599" i="1" s="1"/>
  <c r="D597" i="1"/>
  <c r="E597" i="1" s="1"/>
  <c r="D595" i="1"/>
  <c r="E595" i="1" s="1"/>
  <c r="D593" i="1"/>
  <c r="E593" i="1" s="1"/>
  <c r="D591" i="1"/>
  <c r="E591" i="1" s="1"/>
  <c r="D589" i="1"/>
  <c r="E589" i="1" s="1"/>
  <c r="D587" i="1"/>
  <c r="E587" i="1" s="1"/>
  <c r="D585" i="1"/>
  <c r="E585" i="1" s="1"/>
  <c r="D583" i="1"/>
  <c r="E583" i="1" s="1"/>
  <c r="D581" i="1"/>
  <c r="E581" i="1" s="1"/>
  <c r="D579" i="1"/>
  <c r="E579" i="1" s="1"/>
  <c r="D577" i="1"/>
  <c r="E577" i="1" s="1"/>
  <c r="D575" i="1"/>
  <c r="E575" i="1" s="1"/>
  <c r="D573" i="1"/>
  <c r="E573" i="1" s="1"/>
  <c r="D571" i="1"/>
  <c r="E571" i="1" s="1"/>
  <c r="D569" i="1"/>
  <c r="E569" i="1" s="1"/>
  <c r="D567" i="1"/>
  <c r="E567" i="1" s="1"/>
  <c r="D565" i="1"/>
  <c r="E565" i="1" s="1"/>
  <c r="D563" i="1"/>
  <c r="E563" i="1" s="1"/>
  <c r="D561" i="1"/>
  <c r="E561" i="1" s="1"/>
  <c r="D559" i="1"/>
  <c r="E559" i="1" s="1"/>
  <c r="D557" i="1"/>
  <c r="E557" i="1" s="1"/>
  <c r="D555" i="1"/>
  <c r="E555" i="1" s="1"/>
  <c r="D553" i="1"/>
  <c r="E553" i="1" s="1"/>
  <c r="D551" i="1"/>
  <c r="E551" i="1" s="1"/>
  <c r="D549" i="1"/>
  <c r="E549" i="1" s="1"/>
  <c r="D547" i="1"/>
  <c r="E547" i="1" s="1"/>
  <c r="D545" i="1"/>
  <c r="E545" i="1" s="1"/>
  <c r="D543" i="1"/>
  <c r="E543" i="1" s="1"/>
  <c r="D541" i="1"/>
  <c r="E541" i="1" s="1"/>
  <c r="D539" i="1"/>
  <c r="E539" i="1" s="1"/>
  <c r="D537" i="1"/>
  <c r="E537" i="1" s="1"/>
  <c r="D535" i="1"/>
  <c r="E535" i="1" s="1"/>
  <c r="D533" i="1"/>
  <c r="E533" i="1" s="1"/>
  <c r="D531" i="1"/>
  <c r="E531" i="1" s="1"/>
  <c r="D529" i="1"/>
  <c r="E529" i="1" s="1"/>
  <c r="D527" i="1"/>
  <c r="E527" i="1" s="1"/>
  <c r="D525" i="1"/>
  <c r="E525" i="1" s="1"/>
  <c r="D523" i="1"/>
  <c r="E523" i="1" s="1"/>
  <c r="D521" i="1"/>
  <c r="E521" i="1" s="1"/>
  <c r="D519" i="1"/>
  <c r="E519" i="1" s="1"/>
  <c r="D517" i="1"/>
  <c r="E517" i="1" s="1"/>
  <c r="D515" i="1"/>
  <c r="E515" i="1" s="1"/>
  <c r="D513" i="1"/>
  <c r="E513" i="1" s="1"/>
  <c r="D511" i="1"/>
  <c r="E511" i="1" s="1"/>
  <c r="D509" i="1"/>
  <c r="E509" i="1" s="1"/>
  <c r="D507" i="1"/>
  <c r="E507" i="1" s="1"/>
  <c r="D505" i="1"/>
  <c r="E505" i="1" s="1"/>
  <c r="D503" i="1"/>
  <c r="E503" i="1" s="1"/>
  <c r="D501" i="1"/>
  <c r="E501" i="1" s="1"/>
  <c r="D499" i="1"/>
  <c r="E499" i="1" s="1"/>
  <c r="D497" i="1"/>
  <c r="E497" i="1" s="1"/>
  <c r="D495" i="1"/>
  <c r="E495" i="1" s="1"/>
  <c r="D493" i="1"/>
  <c r="E493" i="1" s="1"/>
  <c r="D491" i="1"/>
  <c r="E491" i="1" s="1"/>
  <c r="D489" i="1"/>
  <c r="E489" i="1" s="1"/>
  <c r="D487" i="1"/>
  <c r="E487" i="1" s="1"/>
  <c r="D485" i="1"/>
  <c r="E485" i="1" s="1"/>
  <c r="D483" i="1"/>
  <c r="E483" i="1" s="1"/>
  <c r="D481" i="1"/>
  <c r="E481" i="1" s="1"/>
  <c r="D479" i="1"/>
  <c r="E479" i="1" s="1"/>
  <c r="D477" i="1"/>
  <c r="E477" i="1" s="1"/>
  <c r="D475" i="1"/>
  <c r="E475" i="1" s="1"/>
  <c r="D473" i="1"/>
  <c r="E473" i="1" s="1"/>
  <c r="D471" i="1"/>
  <c r="E471" i="1" s="1"/>
  <c r="D469" i="1"/>
  <c r="E469" i="1" s="1"/>
  <c r="D467" i="1"/>
  <c r="E467" i="1" s="1"/>
  <c r="D465" i="1"/>
  <c r="E465" i="1" s="1"/>
  <c r="D463" i="1"/>
  <c r="E463" i="1" s="1"/>
  <c r="D461" i="1"/>
  <c r="E461" i="1" s="1"/>
  <c r="D459" i="1"/>
  <c r="E459" i="1" s="1"/>
  <c r="D457" i="1"/>
  <c r="E457" i="1" s="1"/>
  <c r="D455" i="1"/>
  <c r="E455" i="1" s="1"/>
  <c r="D453" i="1"/>
  <c r="E453" i="1" s="1"/>
  <c r="D451" i="1"/>
  <c r="E451" i="1" s="1"/>
  <c r="D449" i="1"/>
  <c r="E449" i="1" s="1"/>
  <c r="D447" i="1"/>
  <c r="E447" i="1" s="1"/>
  <c r="D445" i="1"/>
  <c r="E445" i="1" s="1"/>
  <c r="D443" i="1"/>
  <c r="E443" i="1" s="1"/>
  <c r="D441" i="1"/>
  <c r="E441" i="1" s="1"/>
  <c r="D439" i="1"/>
  <c r="E439" i="1" s="1"/>
  <c r="D437" i="1"/>
  <c r="E437" i="1" s="1"/>
  <c r="D435" i="1"/>
  <c r="E435" i="1" s="1"/>
  <c r="D433" i="1"/>
  <c r="E433" i="1" s="1"/>
  <c r="D431" i="1"/>
  <c r="E431" i="1" s="1"/>
  <c r="D429" i="1"/>
  <c r="E429" i="1" s="1"/>
  <c r="D427" i="1"/>
  <c r="E427" i="1" s="1"/>
  <c r="D425" i="1"/>
  <c r="E425" i="1" s="1"/>
  <c r="D423" i="1"/>
  <c r="E423" i="1" s="1"/>
  <c r="D421" i="1"/>
  <c r="E421" i="1" s="1"/>
  <c r="D419" i="1"/>
  <c r="E419" i="1" s="1"/>
  <c r="D417" i="1"/>
  <c r="E417" i="1" s="1"/>
  <c r="D415" i="1"/>
  <c r="E415" i="1" s="1"/>
  <c r="D413" i="1"/>
  <c r="E413" i="1" s="1"/>
  <c r="D411" i="1"/>
  <c r="E411" i="1" s="1"/>
  <c r="D409" i="1"/>
  <c r="E409" i="1" s="1"/>
  <c r="D407" i="1"/>
  <c r="E407" i="1" s="1"/>
  <c r="D405" i="1"/>
  <c r="E405" i="1" s="1"/>
  <c r="D403" i="1"/>
  <c r="E403" i="1" s="1"/>
  <c r="D401" i="1"/>
  <c r="E401" i="1" s="1"/>
  <c r="D399" i="1"/>
  <c r="E399" i="1" s="1"/>
  <c r="D397" i="1"/>
  <c r="E397" i="1" s="1"/>
  <c r="D395" i="1"/>
  <c r="E395" i="1" s="1"/>
  <c r="D393" i="1"/>
  <c r="E393" i="1" s="1"/>
  <c r="D391" i="1"/>
  <c r="E391" i="1" s="1"/>
  <c r="D389" i="1"/>
  <c r="E389" i="1" s="1"/>
  <c r="D387" i="1"/>
  <c r="E387" i="1" s="1"/>
  <c r="D385" i="1"/>
  <c r="E385" i="1" s="1"/>
  <c r="D383" i="1"/>
  <c r="E383" i="1" s="1"/>
  <c r="D381" i="1"/>
  <c r="E381" i="1" s="1"/>
  <c r="D379" i="1"/>
  <c r="E379" i="1" s="1"/>
  <c r="D377" i="1"/>
  <c r="E377" i="1" s="1"/>
  <c r="D375" i="1"/>
  <c r="E375" i="1" s="1"/>
  <c r="D373" i="1"/>
  <c r="E373" i="1" s="1"/>
  <c r="D371" i="1"/>
  <c r="E371" i="1" s="1"/>
  <c r="D369" i="1"/>
  <c r="E369" i="1" s="1"/>
  <c r="D367" i="1"/>
  <c r="E367" i="1" s="1"/>
  <c r="D365" i="1"/>
  <c r="E365" i="1" s="1"/>
  <c r="D363" i="1"/>
  <c r="E363" i="1" s="1"/>
  <c r="D361" i="1"/>
  <c r="E361" i="1" s="1"/>
  <c r="D359" i="1"/>
  <c r="E359" i="1" s="1"/>
  <c r="D357" i="1"/>
  <c r="E357" i="1" s="1"/>
  <c r="D355" i="1"/>
  <c r="E355" i="1" s="1"/>
  <c r="D353" i="1"/>
  <c r="E353" i="1" s="1"/>
  <c r="D351" i="1"/>
  <c r="E351" i="1" s="1"/>
  <c r="D349" i="1"/>
  <c r="E349" i="1" s="1"/>
  <c r="D347" i="1"/>
  <c r="E347" i="1" s="1"/>
  <c r="D345" i="1"/>
  <c r="E345" i="1" s="1"/>
  <c r="D343" i="1"/>
  <c r="E343" i="1" s="1"/>
  <c r="D341" i="1"/>
  <c r="E341" i="1" s="1"/>
  <c r="D339" i="1"/>
  <c r="E339" i="1" s="1"/>
  <c r="D337" i="1"/>
  <c r="E337" i="1" s="1"/>
  <c r="D335" i="1"/>
  <c r="E335" i="1" s="1"/>
  <c r="D333" i="1"/>
  <c r="E333" i="1" s="1"/>
  <c r="D331" i="1"/>
  <c r="E331" i="1" s="1"/>
  <c r="D329" i="1"/>
  <c r="E329" i="1" s="1"/>
  <c r="D327" i="1"/>
  <c r="E327" i="1" s="1"/>
  <c r="D325" i="1"/>
  <c r="E325" i="1" s="1"/>
  <c r="D323" i="1"/>
  <c r="E323" i="1" s="1"/>
  <c r="D321" i="1"/>
  <c r="E321" i="1" s="1"/>
  <c r="D319" i="1"/>
  <c r="E319" i="1" s="1"/>
  <c r="D317" i="1"/>
  <c r="E317" i="1" s="1"/>
  <c r="D315" i="1"/>
  <c r="E315" i="1" s="1"/>
  <c r="D313" i="1"/>
  <c r="E313" i="1" s="1"/>
  <c r="D311" i="1"/>
  <c r="E311" i="1" s="1"/>
  <c r="D309" i="1"/>
  <c r="E309" i="1" s="1"/>
  <c r="D307" i="1"/>
  <c r="E307" i="1" s="1"/>
  <c r="D305" i="1"/>
  <c r="E305" i="1" s="1"/>
  <c r="D303" i="1"/>
  <c r="E303" i="1" s="1"/>
  <c r="D301" i="1"/>
  <c r="E301" i="1" s="1"/>
  <c r="D299" i="1"/>
  <c r="E299" i="1" s="1"/>
  <c r="D297" i="1"/>
  <c r="E297" i="1" s="1"/>
  <c r="D295" i="1"/>
  <c r="E295" i="1" s="1"/>
  <c r="D293" i="1"/>
  <c r="E293" i="1" s="1"/>
  <c r="D291" i="1"/>
  <c r="E291" i="1" s="1"/>
  <c r="D289" i="1"/>
  <c r="E289" i="1" s="1"/>
  <c r="D287" i="1"/>
  <c r="E287" i="1" s="1"/>
  <c r="D285" i="1"/>
  <c r="E285" i="1" s="1"/>
  <c r="D283" i="1"/>
  <c r="E283" i="1" s="1"/>
  <c r="D281" i="1"/>
  <c r="E281" i="1" s="1"/>
  <c r="D279" i="1"/>
  <c r="E279" i="1" s="1"/>
  <c r="D277" i="1"/>
  <c r="E277" i="1" s="1"/>
  <c r="D275" i="1"/>
  <c r="E275" i="1" s="1"/>
  <c r="D273" i="1"/>
  <c r="E273" i="1" s="1"/>
  <c r="D271" i="1"/>
  <c r="E271" i="1" s="1"/>
  <c r="D269" i="1"/>
  <c r="E269" i="1" s="1"/>
  <c r="D267" i="1"/>
  <c r="E267" i="1" s="1"/>
  <c r="D265" i="1"/>
  <c r="E265" i="1" s="1"/>
  <c r="D263" i="1"/>
  <c r="E263" i="1" s="1"/>
  <c r="D261" i="1"/>
  <c r="E261" i="1" s="1"/>
  <c r="D259" i="1"/>
  <c r="E259" i="1" s="1"/>
  <c r="D257" i="1"/>
  <c r="E257" i="1" s="1"/>
  <c r="D255" i="1"/>
  <c r="E255" i="1" s="1"/>
  <c r="D253" i="1"/>
  <c r="E253" i="1" s="1"/>
  <c r="D251" i="1"/>
  <c r="E251" i="1" s="1"/>
  <c r="D249" i="1"/>
  <c r="E249" i="1" s="1"/>
  <c r="D247" i="1"/>
  <c r="E247" i="1" s="1"/>
  <c r="D245" i="1"/>
  <c r="E245" i="1" s="1"/>
  <c r="D243" i="1"/>
  <c r="E243" i="1" s="1"/>
  <c r="D241" i="1"/>
  <c r="E241" i="1" s="1"/>
  <c r="D239" i="1"/>
  <c r="E239" i="1" s="1"/>
  <c r="D237" i="1"/>
  <c r="E237" i="1" s="1"/>
  <c r="D235" i="1"/>
  <c r="E235" i="1" s="1"/>
  <c r="D233" i="1"/>
  <c r="E233" i="1" s="1"/>
  <c r="D231" i="1"/>
  <c r="E231" i="1" s="1"/>
  <c r="D229" i="1"/>
  <c r="E229" i="1" s="1"/>
  <c r="D227" i="1"/>
  <c r="E227" i="1" s="1"/>
  <c r="D225" i="1"/>
  <c r="E225" i="1" s="1"/>
  <c r="D223" i="1"/>
  <c r="E223" i="1" s="1"/>
  <c r="D221" i="1"/>
  <c r="E221" i="1" s="1"/>
  <c r="D219" i="1"/>
  <c r="E219" i="1" s="1"/>
  <c r="D217" i="1"/>
  <c r="E217" i="1" s="1"/>
  <c r="D215" i="1"/>
  <c r="E215" i="1" s="1"/>
  <c r="D213" i="1"/>
  <c r="E213" i="1" s="1"/>
  <c r="D211" i="1"/>
  <c r="E211" i="1" s="1"/>
  <c r="D209" i="1"/>
  <c r="E209" i="1" s="1"/>
  <c r="D207" i="1"/>
  <c r="E207" i="1" s="1"/>
  <c r="D205" i="1"/>
  <c r="E205" i="1" s="1"/>
  <c r="D203" i="1"/>
  <c r="E203" i="1" s="1"/>
  <c r="D201" i="1"/>
  <c r="E201" i="1" s="1"/>
  <c r="D199" i="1"/>
  <c r="E199" i="1" s="1"/>
  <c r="D197" i="1"/>
  <c r="E197" i="1" s="1"/>
  <c r="D195" i="1"/>
  <c r="E195" i="1" s="1"/>
  <c r="D193" i="1"/>
  <c r="E193" i="1" s="1"/>
  <c r="D191" i="1"/>
  <c r="E191" i="1" s="1"/>
  <c r="D189" i="1"/>
  <c r="E189" i="1" s="1"/>
  <c r="D187" i="1"/>
  <c r="E187" i="1" s="1"/>
  <c r="D185" i="1"/>
  <c r="E185" i="1" s="1"/>
  <c r="D183" i="1"/>
  <c r="E183" i="1" s="1"/>
  <c r="D181" i="1"/>
  <c r="E181" i="1" s="1"/>
  <c r="D179" i="1"/>
  <c r="E179" i="1" s="1"/>
  <c r="D177" i="1"/>
  <c r="E177" i="1" s="1"/>
  <c r="D175" i="1"/>
  <c r="E175" i="1" s="1"/>
  <c r="D173" i="1"/>
  <c r="E173" i="1" s="1"/>
  <c r="D171" i="1"/>
  <c r="E171" i="1" s="1"/>
  <c r="D169" i="1"/>
  <c r="E169" i="1" s="1"/>
  <c r="D167" i="1"/>
  <c r="E167" i="1" s="1"/>
  <c r="D165" i="1"/>
  <c r="E165" i="1" s="1"/>
  <c r="D163" i="1"/>
  <c r="E163" i="1" s="1"/>
  <c r="D161" i="1"/>
  <c r="E161" i="1" s="1"/>
  <c r="D159" i="1"/>
  <c r="E159" i="1" s="1"/>
  <c r="D157" i="1"/>
  <c r="E157" i="1" s="1"/>
  <c r="D155" i="1"/>
  <c r="E155" i="1" s="1"/>
  <c r="D153" i="1"/>
  <c r="E153" i="1" s="1"/>
  <c r="D151" i="1"/>
  <c r="E151" i="1" s="1"/>
  <c r="D149" i="1"/>
  <c r="E149" i="1" s="1"/>
  <c r="D147" i="1"/>
  <c r="E147" i="1" s="1"/>
  <c r="D145" i="1"/>
  <c r="E145" i="1" s="1"/>
  <c r="D143" i="1"/>
  <c r="E143" i="1" s="1"/>
  <c r="D141" i="1"/>
  <c r="E141" i="1" s="1"/>
  <c r="D139" i="1"/>
  <c r="E139" i="1" s="1"/>
  <c r="D137" i="1"/>
  <c r="E137" i="1" s="1"/>
  <c r="D135" i="1"/>
  <c r="E135" i="1" s="1"/>
  <c r="D133" i="1"/>
  <c r="E133" i="1" s="1"/>
  <c r="D131" i="1"/>
  <c r="E131" i="1" s="1"/>
  <c r="D129" i="1"/>
  <c r="E129" i="1" s="1"/>
  <c r="D127" i="1"/>
  <c r="E127" i="1" s="1"/>
  <c r="D125" i="1"/>
  <c r="E125" i="1" s="1"/>
  <c r="D123" i="1"/>
  <c r="E123" i="1" s="1"/>
  <c r="D121" i="1"/>
  <c r="E121" i="1" s="1"/>
  <c r="D119" i="1"/>
  <c r="E119" i="1" s="1"/>
  <c r="D117" i="1"/>
  <c r="E117" i="1" s="1"/>
  <c r="D115" i="1"/>
  <c r="E115" i="1" s="1"/>
  <c r="D113" i="1"/>
  <c r="E113" i="1" s="1"/>
  <c r="D111" i="1"/>
  <c r="E111" i="1" s="1"/>
  <c r="D109" i="1"/>
  <c r="E109" i="1" s="1"/>
  <c r="D107" i="1"/>
  <c r="E107" i="1" s="1"/>
  <c r="D105" i="1"/>
  <c r="E105" i="1" s="1"/>
  <c r="D103" i="1"/>
  <c r="E103" i="1" s="1"/>
  <c r="D101" i="1"/>
  <c r="E101" i="1" s="1"/>
  <c r="D99" i="1"/>
  <c r="E99" i="1" s="1"/>
  <c r="D97" i="1"/>
  <c r="E97" i="1" s="1"/>
  <c r="D95" i="1"/>
  <c r="E95" i="1" s="1"/>
  <c r="D93" i="1"/>
  <c r="E93" i="1" s="1"/>
  <c r="D91" i="1"/>
  <c r="E91" i="1" s="1"/>
  <c r="D89" i="1"/>
  <c r="E89" i="1" s="1"/>
  <c r="D87" i="1"/>
  <c r="E87" i="1" s="1"/>
  <c r="D85" i="1"/>
  <c r="E85" i="1" s="1"/>
  <c r="D83" i="1"/>
  <c r="E83" i="1" s="1"/>
  <c r="D81" i="1"/>
  <c r="E81" i="1" s="1"/>
  <c r="D79" i="1"/>
  <c r="E79" i="1" s="1"/>
  <c r="D77" i="1"/>
  <c r="E77" i="1" s="1"/>
  <c r="D75" i="1"/>
  <c r="E75" i="1" s="1"/>
  <c r="D73" i="1"/>
  <c r="E73" i="1" s="1"/>
  <c r="D71" i="1"/>
  <c r="E71" i="1" s="1"/>
  <c r="D69" i="1"/>
  <c r="E69" i="1" s="1"/>
  <c r="D67" i="1"/>
  <c r="E67" i="1" s="1"/>
  <c r="D65" i="1"/>
  <c r="E65" i="1" s="1"/>
  <c r="D63" i="1"/>
  <c r="E63" i="1" s="1"/>
  <c r="D61" i="1"/>
  <c r="E61" i="1" s="1"/>
  <c r="D59" i="1"/>
  <c r="E59" i="1" s="1"/>
  <c r="D57" i="1"/>
  <c r="E57" i="1" s="1"/>
  <c r="D55" i="1"/>
  <c r="E55" i="1" s="1"/>
  <c r="D53" i="1"/>
  <c r="E53" i="1" s="1"/>
  <c r="D51" i="1"/>
  <c r="E51" i="1" s="1"/>
  <c r="D49" i="1"/>
  <c r="E49" i="1" s="1"/>
  <c r="D47" i="1"/>
  <c r="E47" i="1" s="1"/>
  <c r="D45" i="1"/>
  <c r="E45" i="1" s="1"/>
  <c r="D43" i="1"/>
  <c r="E43" i="1" s="1"/>
  <c r="D41" i="1"/>
  <c r="E41" i="1" s="1"/>
  <c r="D39" i="1"/>
  <c r="E39" i="1" s="1"/>
  <c r="D37" i="1"/>
  <c r="E37" i="1" s="1"/>
  <c r="D35" i="1"/>
  <c r="E35" i="1" s="1"/>
  <c r="D33" i="1"/>
  <c r="E33" i="1" s="1"/>
  <c r="D31" i="1"/>
  <c r="E31" i="1" s="1"/>
  <c r="D29" i="1"/>
  <c r="E29" i="1" s="1"/>
  <c r="D27" i="1"/>
  <c r="E27" i="1" s="1"/>
  <c r="D25" i="1"/>
  <c r="E25" i="1" s="1"/>
  <c r="D23" i="1"/>
  <c r="E23" i="1" s="1"/>
  <c r="D21" i="1"/>
  <c r="E21" i="1" s="1"/>
  <c r="D19" i="1"/>
  <c r="E19" i="1" s="1"/>
  <c r="D17" i="1"/>
  <c r="E17" i="1" s="1"/>
  <c r="D15" i="1"/>
  <c r="E15" i="1" s="1"/>
  <c r="D13" i="1"/>
  <c r="E13" i="1" s="1"/>
  <c r="D11" i="1"/>
  <c r="E11" i="1" s="1"/>
  <c r="D9" i="1"/>
  <c r="E9" i="1" s="1"/>
  <c r="D7" i="1"/>
  <c r="E7" i="1" s="1"/>
  <c r="D5" i="1"/>
  <c r="E5" i="1" s="1"/>
  <c r="D210" i="1"/>
  <c r="E210" i="1" s="1"/>
  <c r="D208" i="1"/>
  <c r="E208" i="1" s="1"/>
  <c r="D206" i="1"/>
  <c r="E206" i="1" s="1"/>
  <c r="D204" i="1"/>
  <c r="E204" i="1" s="1"/>
  <c r="D202" i="1"/>
  <c r="E202" i="1" s="1"/>
  <c r="D200" i="1"/>
  <c r="E200" i="1" s="1"/>
  <c r="D198" i="1"/>
  <c r="E198" i="1" s="1"/>
  <c r="D196" i="1"/>
  <c r="E196" i="1" s="1"/>
  <c r="D194" i="1"/>
  <c r="E194" i="1" s="1"/>
  <c r="D192" i="1"/>
  <c r="E192" i="1" s="1"/>
  <c r="D190" i="1"/>
  <c r="E190" i="1" s="1"/>
  <c r="D188" i="1"/>
  <c r="E188" i="1" s="1"/>
  <c r="D186" i="1"/>
  <c r="E186" i="1" s="1"/>
  <c r="D184" i="1"/>
  <c r="E184" i="1" s="1"/>
  <c r="D182" i="1"/>
  <c r="E182" i="1" s="1"/>
  <c r="D180" i="1"/>
  <c r="E180" i="1" s="1"/>
  <c r="D178" i="1"/>
  <c r="E178" i="1" s="1"/>
  <c r="D176" i="1"/>
  <c r="E176" i="1" s="1"/>
  <c r="D174" i="1"/>
  <c r="E174" i="1" s="1"/>
  <c r="D172" i="1"/>
  <c r="E172" i="1" s="1"/>
  <c r="D170" i="1"/>
  <c r="E170" i="1" s="1"/>
  <c r="D168" i="1"/>
  <c r="E168" i="1" s="1"/>
  <c r="D166" i="1"/>
  <c r="E166" i="1" s="1"/>
  <c r="D164" i="1"/>
  <c r="E164" i="1" s="1"/>
  <c r="D162" i="1"/>
  <c r="E162" i="1" s="1"/>
  <c r="D160" i="1"/>
  <c r="E160" i="1" s="1"/>
  <c r="D158" i="1"/>
  <c r="E158" i="1" s="1"/>
  <c r="D156" i="1"/>
  <c r="E156" i="1" s="1"/>
  <c r="D154" i="1"/>
  <c r="E154" i="1" s="1"/>
  <c r="D152" i="1"/>
  <c r="E152" i="1" s="1"/>
  <c r="D150" i="1"/>
  <c r="E150" i="1" s="1"/>
  <c r="D148" i="1"/>
  <c r="E148" i="1" s="1"/>
  <c r="D146" i="1"/>
  <c r="E146" i="1" s="1"/>
  <c r="D144" i="1"/>
  <c r="E144" i="1" s="1"/>
  <c r="D142" i="1"/>
  <c r="E142" i="1" s="1"/>
  <c r="D140" i="1"/>
  <c r="E140" i="1" s="1"/>
  <c r="D138" i="1"/>
  <c r="E138" i="1" s="1"/>
  <c r="D136" i="1"/>
  <c r="E136" i="1" s="1"/>
  <c r="D134" i="1"/>
  <c r="E134" i="1" s="1"/>
  <c r="D132" i="1"/>
  <c r="E132" i="1" s="1"/>
  <c r="D130" i="1"/>
  <c r="E130" i="1" s="1"/>
  <c r="D128" i="1"/>
  <c r="E128" i="1" s="1"/>
  <c r="D126" i="1"/>
  <c r="E126" i="1" s="1"/>
  <c r="D124" i="1"/>
  <c r="E124" i="1" s="1"/>
  <c r="D122" i="1"/>
  <c r="E122" i="1" s="1"/>
  <c r="D120" i="1"/>
  <c r="E120" i="1" s="1"/>
  <c r="D118" i="1"/>
  <c r="E118" i="1" s="1"/>
  <c r="D116" i="1"/>
  <c r="E116" i="1" s="1"/>
  <c r="D114" i="1"/>
  <c r="E114" i="1" s="1"/>
  <c r="D112" i="1"/>
  <c r="E112" i="1" s="1"/>
  <c r="D110" i="1"/>
  <c r="E110" i="1" s="1"/>
  <c r="D108" i="1"/>
  <c r="E108" i="1" s="1"/>
  <c r="D106" i="1"/>
  <c r="E106" i="1" s="1"/>
  <c r="D104" i="1"/>
  <c r="E104" i="1" s="1"/>
  <c r="D102" i="1"/>
  <c r="E102" i="1" s="1"/>
  <c r="H9" i="3" a="1"/>
  <c r="H21" i="3" a="1"/>
  <c r="H28" i="3" a="1"/>
  <c r="H26" i="3" a="1"/>
  <c r="H19" i="3" a="1"/>
  <c r="H22" i="3" a="1"/>
  <c r="H5" i="3" a="1"/>
  <c r="H33" i="3" a="1"/>
  <c r="H10" i="3" a="1"/>
  <c r="H3" i="3" a="1"/>
  <c r="H6" i="3" a="1"/>
  <c r="H18" i="3" a="1"/>
  <c r="H17" i="3" a="1"/>
  <c r="H23" i="3" a="1"/>
  <c r="H27" i="3" a="1"/>
  <c r="H12" i="3" a="1"/>
  <c r="H31" i="3" a="1"/>
  <c r="H30" i="3" a="1"/>
  <c r="H7" i="3" a="1"/>
  <c r="H11" i="3" a="1"/>
  <c r="H24" i="3" a="1"/>
  <c r="H8" i="3" a="1"/>
  <c r="H20" i="3" a="1"/>
  <c r="H32" i="3" a="1"/>
  <c r="H29" i="3" a="1"/>
  <c r="H14" i="3" a="1"/>
  <c r="H25" i="3" a="1"/>
  <c r="H4" i="3" a="1"/>
  <c r="H16" i="3" a="1"/>
  <c r="H13" i="3" a="1"/>
  <c r="H15" i="3" a="1"/>
  <c r="H4" i="3" l="1"/>
  <c r="H6" i="3"/>
  <c r="H8" i="3"/>
  <c r="H10" i="3"/>
  <c r="H12" i="3"/>
  <c r="H14" i="3"/>
  <c r="H16" i="3"/>
  <c r="H18" i="3"/>
  <c r="H20" i="3"/>
  <c r="H22" i="3"/>
  <c r="H24" i="3"/>
  <c r="H26" i="3"/>
  <c r="H28" i="3"/>
  <c r="H30" i="3"/>
  <c r="H32" i="3"/>
  <c r="H5" i="3"/>
  <c r="H7" i="3"/>
  <c r="H9" i="3"/>
  <c r="H11" i="3"/>
  <c r="H13" i="3"/>
  <c r="H15" i="3"/>
  <c r="H17" i="3"/>
  <c r="H19" i="3"/>
  <c r="H21" i="3"/>
  <c r="H23" i="3"/>
  <c r="H25" i="3"/>
  <c r="H27" i="3"/>
  <c r="H29" i="3"/>
  <c r="H31" i="3"/>
  <c r="H33" i="3"/>
  <c r="H3" i="3"/>
  <c r="I4" i="1"/>
  <c r="I3" i="1"/>
  <c r="M3" i="1" a="1"/>
  <c r="M3" i="1" l="1"/>
  <c r="I6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<sst xmlns="http://schemas.openxmlformats.org/spreadsheetml/2006/main" count="62" uniqueCount="51">
  <si>
    <t>Dice 1</t>
  </si>
  <si>
    <t>Dice 2</t>
  </si>
  <si>
    <t>Trial</t>
  </si>
  <si>
    <t>Total</t>
  </si>
  <si>
    <t>Is &gt;= 8</t>
  </si>
  <si>
    <t>Number of Trials</t>
  </si>
  <si>
    <t>Number of Successes</t>
  </si>
  <si>
    <t>Estimated Probability of Success</t>
  </si>
  <si>
    <t>Trials</t>
  </si>
  <si>
    <t>Diceroll Probability</t>
  </si>
  <si>
    <t>Die 1</t>
  </si>
  <si>
    <t>Die 2</t>
  </si>
  <si>
    <t>#Successes</t>
  </si>
  <si>
    <t>#Possibiities</t>
  </si>
  <si>
    <t>Probability</t>
  </si>
  <si>
    <t>Times</t>
  </si>
  <si>
    <t>Cashflow</t>
  </si>
  <si>
    <t>Discount Rates</t>
  </si>
  <si>
    <t>NPV</t>
  </si>
  <si>
    <t>r_low</t>
  </si>
  <si>
    <t>r_high</t>
  </si>
  <si>
    <t>r_mid</t>
  </si>
  <si>
    <t>Run Number</t>
  </si>
  <si>
    <t>Difference (high - low)</t>
  </si>
  <si>
    <t>S</t>
  </si>
  <si>
    <t>rb</t>
  </si>
  <si>
    <t>rc</t>
  </si>
  <si>
    <t>t</t>
  </si>
  <si>
    <t>F</t>
  </si>
  <si>
    <t>Spot Value</t>
  </si>
  <si>
    <t>Nominal amount</t>
  </si>
  <si>
    <t>Value of the FX forward Position - GBP</t>
  </si>
  <si>
    <t>K</t>
  </si>
  <si>
    <t>r</t>
  </si>
  <si>
    <t>q</t>
  </si>
  <si>
    <t>vol</t>
  </si>
  <si>
    <t>time to maturity</t>
  </si>
  <si>
    <t>call / put</t>
  </si>
  <si>
    <t>d_1</t>
  </si>
  <si>
    <t>d_2</t>
  </si>
  <si>
    <t>C</t>
  </si>
  <si>
    <t>N(d1)</t>
  </si>
  <si>
    <t>N(d2)</t>
  </si>
  <si>
    <t>Call Price</t>
  </si>
  <si>
    <t>Call Delta</t>
  </si>
  <si>
    <t>Call Theta</t>
  </si>
  <si>
    <t>Stock Price</t>
  </si>
  <si>
    <t>Call Option Price</t>
  </si>
  <si>
    <t>Call Vega</t>
  </si>
  <si>
    <t>Call Gamma</t>
  </si>
  <si>
    <t>Call Rho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</si>
</sst>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.000"/>
    <numFmt numFmtId="166" formatCode="0.0000"/>
    <numFmt numFmtId="167" formatCode="_-* #,##0_-;\-* #,##0_-;_-* &quot;-&quot;??_-;_-@_-"/>
    <numFmt numFmtId="168" formatCode="0.00000"/>
    <numFmt numFmtId="169" formatCode="#,##0.00_ ;[Red]\-#,##0.00\ "/>
    <numFmt numFmtId="170" formatCode="#,##0_ ;[Red]\-#,##0\ "/>
    <numFmt numFmtId="171" formatCode="0.00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66" fontId="0" fillId="0" borderId="0" xfId="0" applyNumberFormat="1"/>
    <xf numFmtId="167" fontId="0" fillId="0" borderId="0" xfId="1" applyNumberFormat="1" applyFont="1"/>
    <xf numFmtId="168" fontId="0" fillId="0" borderId="0" xfId="0" applyNumberFormat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0" xfId="0" applyFont="1"/>
    <xf numFmtId="170" fontId="0" fillId="0" borderId="1" xfId="0" applyNumberFormat="1" applyBorder="1"/>
    <xf numFmtId="9" fontId="0" fillId="0" borderId="1" xfId="0" applyNumberFormat="1" applyBorder="1" applyAlignment="1">
      <alignment horizontal="center"/>
    </xf>
    <xf numFmtId="171" fontId="0" fillId="0" borderId="0" xfId="0" applyNumberFormat="1" applyAlignment="1">
      <alignment horizontal="center"/>
    </xf>
    <xf numFmtId="171" fontId="0" fillId="0" borderId="0" xfId="2" applyNumberFormat="1" applyFont="1" applyAlignment="1">
      <alignment horizontal="center"/>
    </xf>
    <xf numFmtId="171" fontId="0" fillId="0" borderId="0" xfId="0" applyNumberFormat="1"/>
    <xf numFmtId="0" fontId="0" fillId="0" borderId="1" xfId="0" applyFill="1" applyBorder="1" applyAlignment="1">
      <alignment horizontal="center"/>
    </xf>
    <xf numFmtId="171" fontId="0" fillId="0" borderId="1" xfId="2" applyNumberFormat="1" applyFont="1" applyBorder="1"/>
    <xf numFmtId="171" fontId="0" fillId="0" borderId="0" xfId="2" applyNumberFormat="1" applyFont="1"/>
    <xf numFmtId="166" fontId="5" fillId="0" borderId="1" xfId="0" applyNumberFormat="1" applyFont="1" applyBorder="1"/>
    <xf numFmtId="9" fontId="5" fillId="0" borderId="1" xfId="0" applyNumberFormat="1" applyFont="1" applyBorder="1"/>
    <xf numFmtId="0" fontId="5" fillId="0" borderId="1" xfId="0" applyFont="1" applyBorder="1"/>
    <xf numFmtId="168" fontId="2" fillId="0" borderId="0" xfId="0" applyNumberFormat="1" applyFont="1"/>
    <xf numFmtId="167" fontId="2" fillId="0" borderId="0" xfId="1" applyNumberFormat="1" applyFont="1"/>
    <xf numFmtId="169" fontId="0" fillId="0" borderId="0" xfId="0" applyNumberFormat="1"/>
    <xf numFmtId="0" fontId="0" fillId="2" borderId="0" xfId="0" applyFill="1"/>
    <xf numFmtId="0" fontId="0" fillId="2" borderId="1" xfId="0" applyFill="1" applyBorder="1"/>
    <xf numFmtId="10" fontId="0" fillId="2" borderId="1" xfId="2" applyNumberFormat="1" applyFont="1" applyFill="1" applyBorder="1"/>
    <xf numFmtId="0" fontId="2" fillId="3" borderId="1" xfId="0" applyFont="1" applyFill="1" applyBorder="1"/>
    <xf numFmtId="0" fontId="4" fillId="2" borderId="1" xfId="0" applyFont="1" applyFill="1" applyBorder="1"/>
    <xf numFmtId="9" fontId="4" fillId="2" borderId="1" xfId="0" applyNumberFormat="1" applyFont="1" applyFill="1" applyBorder="1"/>
    <xf numFmtId="0" fontId="4" fillId="2" borderId="1" xfId="0" applyFont="1" applyFill="1" applyBorder="1" applyAlignment="1">
      <alignment horizontal="center"/>
    </xf>
    <xf numFmtId="166" fontId="0" fillId="2" borderId="1" xfId="0" applyNumberFormat="1" applyFill="1" applyBorder="1"/>
    <xf numFmtId="165" fontId="0" fillId="2" borderId="1" xfId="0" applyNumberFormat="1" applyFill="1" applyBorder="1"/>
    <xf numFmtId="166" fontId="0" fillId="2" borderId="1" xfId="2" applyNumberFormat="1" applyFont="1" applyFill="1" applyBorder="1"/>
    <xf numFmtId="168" fontId="0" fillId="2" borderId="1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4" fillId="2" borderId="7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10" fontId="0" fillId="2" borderId="10" xfId="2" applyNumberFormat="1" applyFont="1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553368328958885E-2"/>
          <c:y val="0.18560185185185185"/>
          <c:w val="0.8552869641294838"/>
          <c:h val="0.720887649460484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'NPV Problem'!$G$2</c:f>
              <c:strCache>
                <c:ptCount val="1"/>
                <c:pt idx="0">
                  <c:v>NPV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'NPV Problem'!$F$3:$F$33</c:f>
              <c:numCache>
                <c:formatCode>0%</c:formatCode>
                <c:ptCount val="3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</c:numCache>
            </c:numRef>
          </c:xVal>
          <c:yVal>
            <c:numRef>
              <c:f>'NPV Problem'!$G$3:$G$33</c:f>
              <c:numCache>
                <c:formatCode>#,##0_ ;[Red]\-#,##0\ </c:formatCode>
                <c:ptCount val="31"/>
                <c:pt idx="0">
                  <c:v>400</c:v>
                </c:pt>
                <c:pt idx="1">
                  <c:v>370.5024065782718</c:v>
                </c:pt>
                <c:pt idx="2">
                  <c:v>341.98008307513714</c:v>
                </c:pt>
                <c:pt idx="3">
                  <c:v>314.39051107916248</c:v>
                </c:pt>
                <c:pt idx="4">
                  <c:v>287.69344560764671</c:v>
                </c:pt>
                <c:pt idx="5">
                  <c:v>261.85077205485368</c:v>
                </c:pt>
                <c:pt idx="6">
                  <c:v>236.82637344922318</c:v>
                </c:pt>
                <c:pt idx="7">
                  <c:v>212.58600718505386</c:v>
                </c:pt>
                <c:pt idx="8">
                  <c:v>189.09719046893247</c:v>
                </c:pt>
                <c:pt idx="9">
                  <c:v>166.32909378863314</c:v>
                </c:pt>
                <c:pt idx="10">
                  <c:v>144.25244177310265</c:v>
                </c:pt>
                <c:pt idx="11">
                  <c:v>122.83942086717821</c:v>
                </c:pt>
                <c:pt idx="12">
                  <c:v>102.06359329446036</c:v>
                </c:pt>
                <c:pt idx="13">
                  <c:v>81.899816826842425</c:v>
                </c:pt>
                <c:pt idx="14">
                  <c:v>62.324169920029135</c:v>
                </c:pt>
                <c:pt idx="15">
                  <c:v>43.31388181145735</c:v>
                </c:pt>
                <c:pt idx="16">
                  <c:v>24.847267210627933</c:v>
                </c:pt>
                <c:pt idx="17">
                  <c:v>6.9036652424774729</c:v>
                </c:pt>
                <c:pt idx="18">
                  <c:v>-10.536617667823748</c:v>
                </c:pt>
                <c:pt idx="19">
                  <c:v>-27.492361254932007</c:v>
                </c:pt>
                <c:pt idx="20">
                  <c:v>-43.981481481481524</c:v>
                </c:pt>
                <c:pt idx="21">
                  <c:v>-60.021077456548142</c:v>
                </c:pt>
                <c:pt idx="22">
                  <c:v>-75.627475427458535</c:v>
                </c:pt>
                <c:pt idx="23">
                  <c:v>-90.816270050465619</c:v>
                </c:pt>
                <c:pt idx="24">
                  <c:v>-105.6023631298043</c:v>
                </c:pt>
                <c:pt idx="25">
                  <c:v>-120</c:v>
                </c:pt>
                <c:pt idx="26">
                  <c:v>-134.02280371290203</c:v>
                </c:pt>
                <c:pt idx="27">
                  <c:v>-147.68380717863795</c:v>
                </c:pt>
                <c:pt idx="28">
                  <c:v>-160.9954833984375</c:v>
                </c:pt>
                <c:pt idx="29">
                  <c:v>-173.9697739169485</c:v>
                </c:pt>
                <c:pt idx="30">
                  <c:v>-186.61811561219849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E0-4404-8687-265C60C8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8473936"/>
        <c:axId val="1235855168"/>
      </c:scatterChart>
      <c:valAx>
        <c:axId val="123847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Discount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855168"/>
        <c:crosses val="autoZero"/>
        <c:crossBetween val="midCat"/>
      </c:valAx>
      <c:valAx>
        <c:axId val="123585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 ;[Red]\-#,##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8473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'Forward Problem'!$H$2</c:f>
              <c:strCache>
                <c:ptCount val="1"/>
                <c:pt idx="0">
                  <c:v>Value of the FX forward Position - GBP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'Forward Problem'!$G$3:$G$33</c:f>
              <c:numCache>
                <c:formatCode>0.0000</c:formatCode>
                <c:ptCount val="31"/>
                <c:pt idx="0">
                  <c:v>0.7</c:v>
                </c:pt>
                <c:pt idx="1">
                  <c:v>0.71</c:v>
                </c:pt>
                <c:pt idx="2">
                  <c:v>0.72</c:v>
                </c:pt>
                <c:pt idx="3">
                  <c:v>0.73</c:v>
                </c:pt>
                <c:pt idx="4">
                  <c:v>0.74</c:v>
                </c:pt>
                <c:pt idx="5">
                  <c:v>0.75</c:v>
                </c:pt>
                <c:pt idx="6">
                  <c:v>0.76</c:v>
                </c:pt>
                <c:pt idx="7">
                  <c:v>0.77</c:v>
                </c:pt>
                <c:pt idx="8">
                  <c:v>0.78</c:v>
                </c:pt>
                <c:pt idx="9">
                  <c:v>0.79</c:v>
                </c:pt>
                <c:pt idx="10">
                  <c:v>0.8</c:v>
                </c:pt>
                <c:pt idx="11">
                  <c:v>0.81</c:v>
                </c:pt>
                <c:pt idx="12">
                  <c:v>0.82</c:v>
                </c:pt>
                <c:pt idx="13">
                  <c:v>0.83</c:v>
                </c:pt>
                <c:pt idx="14">
                  <c:v>0.84</c:v>
                </c:pt>
                <c:pt idx="15">
                  <c:v>0.85</c:v>
                </c:pt>
                <c:pt idx="16">
                  <c:v>0.86</c:v>
                </c:pt>
                <c:pt idx="17">
                  <c:v>0.87</c:v>
                </c:pt>
                <c:pt idx="18">
                  <c:v>0.88</c:v>
                </c:pt>
                <c:pt idx="19">
                  <c:v>0.89</c:v>
                </c:pt>
                <c:pt idx="20">
                  <c:v>0.9</c:v>
                </c:pt>
                <c:pt idx="21">
                  <c:v>0.91</c:v>
                </c:pt>
                <c:pt idx="22">
                  <c:v>0.92</c:v>
                </c:pt>
                <c:pt idx="23">
                  <c:v>0.93</c:v>
                </c:pt>
                <c:pt idx="24">
                  <c:v>0.94</c:v>
                </c:pt>
                <c:pt idx="25">
                  <c:v>0.95</c:v>
                </c:pt>
                <c:pt idx="26">
                  <c:v>0.96</c:v>
                </c:pt>
                <c:pt idx="27">
                  <c:v>0.97</c:v>
                </c:pt>
                <c:pt idx="28">
                  <c:v>0.98</c:v>
                </c:pt>
                <c:pt idx="29">
                  <c:v>0.99</c:v>
                </c:pt>
                <c:pt idx="30">
                  <c:v>1</c:v>
                </c:pt>
              </c:numCache>
            </c:numRef>
          </c:xVal>
          <c:yVal>
            <c:numRef>
              <c:f>'Forward Problem'!$H$3:$H$33</c:f>
              <c:numCache>
                <c:formatCode>#,##0.00_ ;[Red]\-#,##0.00\ </c:formatCode>
                <c:ptCount val="31"/>
                <c:pt idx="0">
                  <c:v>-1492537.3134328357</c:v>
                </c:pt>
                <c:pt idx="1">
                  <c:v>-1393034.8258706471</c:v>
                </c:pt>
                <c:pt idx="2">
                  <c:v>-1293532.3383084573</c:v>
                </c:pt>
                <c:pt idx="3">
                  <c:v>-1194029.8507462689</c:v>
                </c:pt>
                <c:pt idx="4">
                  <c:v>-1094527.3631840791</c:v>
                </c:pt>
                <c:pt idx="5">
                  <c:v>-995024.87562189042</c:v>
                </c:pt>
                <c:pt idx="6">
                  <c:v>-895522.38805970072</c:v>
                </c:pt>
                <c:pt idx="7">
                  <c:v>-796019.90049751219</c:v>
                </c:pt>
                <c:pt idx="8">
                  <c:v>-696517.41293532238</c:v>
                </c:pt>
                <c:pt idx="9">
                  <c:v>-597014.92537313385</c:v>
                </c:pt>
                <c:pt idx="10">
                  <c:v>-497512.4378109441</c:v>
                </c:pt>
                <c:pt idx="11">
                  <c:v>-398009.95024875551</c:v>
                </c:pt>
                <c:pt idx="12">
                  <c:v>-298507.46268656693</c:v>
                </c:pt>
                <c:pt idx="13">
                  <c:v>-199004.97512437831</c:v>
                </c:pt>
                <c:pt idx="14">
                  <c:v>-99502.487562188602</c:v>
                </c:pt>
                <c:pt idx="15">
                  <c:v>0</c:v>
                </c:pt>
                <c:pt idx="16">
                  <c:v>99502.487562189708</c:v>
                </c:pt>
                <c:pt idx="17">
                  <c:v>199004.97512437831</c:v>
                </c:pt>
                <c:pt idx="18">
                  <c:v>298507.46268656803</c:v>
                </c:pt>
                <c:pt idx="19">
                  <c:v>398009.95024875662</c:v>
                </c:pt>
                <c:pt idx="20">
                  <c:v>497512.43781094631</c:v>
                </c:pt>
                <c:pt idx="21">
                  <c:v>597014.9253731349</c:v>
                </c:pt>
                <c:pt idx="22">
                  <c:v>696517.41293532471</c:v>
                </c:pt>
                <c:pt idx="23">
                  <c:v>796019.90049751324</c:v>
                </c:pt>
                <c:pt idx="24">
                  <c:v>895522.38805970189</c:v>
                </c:pt>
                <c:pt idx="25">
                  <c:v>995024.87562189042</c:v>
                </c:pt>
                <c:pt idx="26">
                  <c:v>1094527.3631840802</c:v>
                </c:pt>
                <c:pt idx="27">
                  <c:v>1194029.8507462689</c:v>
                </c:pt>
                <c:pt idx="28">
                  <c:v>1293532.3383084584</c:v>
                </c:pt>
                <c:pt idx="29">
                  <c:v>1393034.8258706471</c:v>
                </c:pt>
                <c:pt idx="30">
                  <c:v>1492537.3134328369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CA-4606-A9C1-157391BD6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408608"/>
        <c:axId val="1295193536"/>
      </c:scatterChart>
      <c:valAx>
        <c:axId val="1300408608"/>
        <c:scaling>
          <c:orientation val="minMax"/>
          <c:min val="0.650000000000000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193536"/>
        <c:crosses val="autoZero"/>
        <c:crossBetween val="midCat"/>
      </c:valAx>
      <c:valAx>
        <c:axId val="129519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0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262675830068146E-2"/>
          <c:y val="3.1274179600382319E-2"/>
          <c:w val="0.88921798129764784"/>
          <c:h val="0.6074503512205482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'Option Pricer'!$O$15</c:f>
              <c:strCache>
                <c:ptCount val="1"/>
                <c:pt idx="0">
                  <c:v>Call Option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'Option Pricer'!$N$16:$N$66</c:f>
              <c:numCache>
                <c:formatCode>General</c:formatCode>
                <c:ptCount val="51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109</c:v>
                </c:pt>
                <c:pt idx="35">
                  <c:v>110</c:v>
                </c:pt>
                <c:pt idx="36">
                  <c:v>111</c:v>
                </c:pt>
                <c:pt idx="37">
                  <c:v>112</c:v>
                </c:pt>
                <c:pt idx="38">
                  <c:v>113</c:v>
                </c:pt>
                <c:pt idx="39">
                  <c:v>114</c:v>
                </c:pt>
                <c:pt idx="40">
                  <c:v>115</c:v>
                </c:pt>
                <c:pt idx="41">
                  <c:v>116</c:v>
                </c:pt>
                <c:pt idx="42">
                  <c:v>117</c:v>
                </c:pt>
                <c:pt idx="43">
                  <c:v>118</c:v>
                </c:pt>
                <c:pt idx="44">
                  <c:v>119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123</c:v>
                </c:pt>
                <c:pt idx="49">
                  <c:v>124</c:v>
                </c:pt>
                <c:pt idx="50">
                  <c:v>125</c:v>
                </c:pt>
              </c:numCache>
            </c:numRef>
          </c:xVal>
          <c:yVal>
            <c:numRef>
              <c:f>'Option Pricer'!$O$16:$O$66</c:f>
              <c:numCache>
                <c:formatCode>General</c:formatCode>
                <c:ptCount val="51"/>
                <c:pt idx="0">
                  <c:v>0.37805961701512647</c:v>
                </c:pt>
                <c:pt idx="1">
                  <c:v>0.45235389599188203</c:v>
                </c:pt>
                <c:pt idx="2">
                  <c:v>0.53767764752310665</c:v>
                </c:pt>
                <c:pt idx="3">
                  <c:v>0.63504781881232297</c:v>
                </c:pt>
                <c:pt idx="4">
                  <c:v>0.74548997891078628</c:v>
                </c:pt>
                <c:pt idx="5">
                  <c:v>0.87002849410229643</c:v>
                </c:pt>
                <c:pt idx="6">
                  <c:v>1.0096765064874997</c:v>
                </c:pt>
                <c:pt idx="7">
                  <c:v>1.1654259121543795</c:v>
                </c:pt>
                <c:pt idx="8">
                  <c:v>1.3382375311798977</c:v>
                </c:pt>
                <c:pt idx="9">
                  <c:v>1.5290316521720317</c:v>
                </c:pt>
                <c:pt idx="10">
                  <c:v>1.7386791197812919</c:v>
                </c:pt>
                <c:pt idx="11">
                  <c:v>1.9679931153661947</c:v>
                </c:pt>
                <c:pt idx="12">
                  <c:v>2.2177217596489669</c:v>
                </c:pt>
                <c:pt idx="13">
                  <c:v>2.4885416426441829</c:v>
                </c:pt>
                <c:pt idx="14">
                  <c:v>2.7810523612826081</c:v>
                </c:pt>
                <c:pt idx="15">
                  <c:v>3.0957721198418149</c:v>
                </c:pt>
                <c:pt idx="16">
                  <c:v>3.4331344233251109</c:v>
                </c:pt>
                <c:pt idx="17">
                  <c:v>3.7934858700022076</c:v>
                </c:pt>
                <c:pt idx="18">
                  <c:v>4.1770850270299533</c:v>
                </c:pt>
                <c:pt idx="19">
                  <c:v>4.5841023528905254</c:v>
                </c:pt>
                <c:pt idx="20">
                  <c:v>5.0146211126722946</c:v>
                </c:pt>
                <c:pt idx="21">
                  <c:v>5.4686392172212805</c:v>
                </c:pt>
                <c:pt idx="22">
                  <c:v>5.9460719050341169</c:v>
                </c:pt>
                <c:pt idx="23">
                  <c:v>6.4467551764810338</c:v>
                </c:pt>
                <c:pt idx="24">
                  <c:v>6.9704498834753679</c:v>
                </c:pt>
                <c:pt idx="25">
                  <c:v>7.5168463739128555</c:v>
                </c:pt>
                <c:pt idx="26">
                  <c:v>8.085569588891552</c:v>
                </c:pt>
                <c:pt idx="27">
                  <c:v>8.6761845116508312</c:v>
                </c:pt>
                <c:pt idx="28">
                  <c:v>9.2882018700610729</c:v>
                </c:pt>
                <c:pt idx="29">
                  <c:v>9.9210839990614375</c:v>
                </c:pt>
                <c:pt idx="30">
                  <c:v>10.574250775380506</c:v>
                </c:pt>
                <c:pt idx="31">
                  <c:v>11.247085543885987</c:v>
                </c:pt>
                <c:pt idx="32">
                  <c:v>11.938940962709459</c:v>
                </c:pt>
                <c:pt idx="33">
                  <c:v>12.649144702608808</c:v>
                </c:pt>
                <c:pt idx="34">
                  <c:v>13.377004944623195</c:v>
                </c:pt>
                <c:pt idx="35">
                  <c:v>14.121815628719347</c:v>
                </c:pt>
                <c:pt idx="36">
                  <c:v>14.882861414638029</c:v>
                </c:pt>
                <c:pt idx="37">
                  <c:v>15.659422324361785</c:v>
                </c:pt>
                <c:pt idx="38">
                  <c:v>16.45077804341031</c:v>
                </c:pt>
                <c:pt idx="39">
                  <c:v>17.256211865425016</c:v>
                </c:pt>
                <c:pt idx="40">
                  <c:v>18.075014271155169</c:v>
                </c:pt>
                <c:pt idx="41">
                  <c:v>18.906486138950015</c:v>
                </c:pt>
                <c:pt idx="42">
                  <c:v>19.749941589171357</c:v>
                </c:pt>
                <c:pt idx="43">
                  <c:v>20.604710469553893</c:v>
                </c:pt>
                <c:pt idx="44">
                  <c:v>21.470140492467294</c:v>
                </c:pt>
                <c:pt idx="45">
                  <c:v>22.34559903829367</c:v>
                </c:pt>
                <c:pt idx="46">
                  <c:v>23.230474641759642</c:v>
                </c:pt>
                <c:pt idx="47">
                  <c:v>24.124178180092386</c:v>
                </c:pt>
                <c:pt idx="48">
                  <c:v>25.026143783353518</c:v>
                </c:pt>
                <c:pt idx="49">
                  <c:v>25.935829488290267</c:v>
                </c:pt>
                <c:pt idx="50">
                  <c:v>26.852717657587789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F9-4792-9D2D-51C2F602E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757296"/>
        <c:axId val="1235675680"/>
      </c:scatterChart>
      <c:valAx>
        <c:axId val="1284757296"/>
        <c:scaling>
          <c:orientation val="minMax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675680"/>
        <c:crosses val="autoZero"/>
        <c:crossBetween val="midCat"/>
      </c:valAx>
      <c:valAx>
        <c:axId val="123567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75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</a:t>
            </a:r>
            <a:r>
              <a:rPr lang="en-IN" baseline="0"/>
              <a:t> Delta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'Option Pricer'!$N$16:$N$66</c:f>
              <c:numCache>
                <c:formatCode>General</c:formatCode>
                <c:ptCount val="51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109</c:v>
                </c:pt>
                <c:pt idx="35">
                  <c:v>110</c:v>
                </c:pt>
                <c:pt idx="36">
                  <c:v>111</c:v>
                </c:pt>
                <c:pt idx="37">
                  <c:v>112</c:v>
                </c:pt>
                <c:pt idx="38">
                  <c:v>113</c:v>
                </c:pt>
                <c:pt idx="39">
                  <c:v>114</c:v>
                </c:pt>
                <c:pt idx="40">
                  <c:v>115</c:v>
                </c:pt>
                <c:pt idx="41">
                  <c:v>116</c:v>
                </c:pt>
                <c:pt idx="42">
                  <c:v>117</c:v>
                </c:pt>
                <c:pt idx="43">
                  <c:v>118</c:v>
                </c:pt>
                <c:pt idx="44">
                  <c:v>119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123</c:v>
                </c:pt>
                <c:pt idx="49">
                  <c:v>124</c:v>
                </c:pt>
                <c:pt idx="50">
                  <c:v>125</c:v>
                </c:pt>
              </c:numCache>
            </c:numRef>
          </c:cat>
          <c:val>
            <c:numRef>
              <c:f>'Option Pricer'!$Q$16:$Q$66</c:f>
              <c:numCache>
                <c:formatCode>0.00%</c:formatCode>
                <c:ptCount val="51"/>
                <c:pt idx="0">
                  <c:v>6.9114465439780434E-2</c:v>
                </c:pt>
                <c:pt idx="1">
                  <c:v>7.9640722542252976E-2</c:v>
                </c:pt>
                <c:pt idx="2">
                  <c:v>9.1176429387279379E-2</c:v>
                </c:pt>
                <c:pt idx="3">
                  <c:v>0.10373500557587473</c:v>
                </c:pt>
                <c:pt idx="4">
                  <c:v>0.11732020982853981</c:v>
                </c:pt>
                <c:pt idx="5">
                  <c:v>0.13192584506162072</c:v>
                </c:pt>
                <c:pt idx="6">
                  <c:v>0.14753565999367957</c:v>
                </c:pt>
                <c:pt idx="7">
                  <c:v>0.16412344601313938</c:v>
                </c:pt>
                <c:pt idx="8">
                  <c:v>0.18165332237285442</c:v>
                </c:pt>
                <c:pt idx="9">
                  <c:v>0.20008019768304286</c:v>
                </c:pt>
                <c:pt idx="10">
                  <c:v>0.21935039130214715</c:v>
                </c:pt>
                <c:pt idx="11">
                  <c:v>0.23940239468087968</c:v>
                </c:pt>
                <c:pt idx="12">
                  <c:v>0.26016775005777476</c:v>
                </c:pt>
                <c:pt idx="13">
                  <c:v>0.28157202215194294</c:v>
                </c:pt>
                <c:pt idx="14">
                  <c:v>0.30353583762899627</c:v>
                </c:pt>
                <c:pt idx="15">
                  <c:v>0.32597596707515175</c:v>
                </c:pt>
                <c:pt idx="16">
                  <c:v>0.34880642492206004</c:v>
                </c:pt>
                <c:pt idx="17">
                  <c:v>0.37193956412136003</c:v>
                </c:pt>
                <c:pt idx="18">
                  <c:v>0.39528714426112821</c:v>
                </c:pt>
                <c:pt idx="19">
                  <c:v>0.41876135412789567</c:v>
                </c:pt>
                <c:pt idx="20">
                  <c:v>0.44227577232872206</c:v>
                </c:pt>
                <c:pt idx="21">
                  <c:v>0.46574625238323081</c:v>
                </c:pt>
                <c:pt idx="22">
                  <c:v>0.48909172156895969</c:v>
                </c:pt>
                <c:pt idx="23">
                  <c:v>0.5122348856593798</c:v>
                </c:pt>
                <c:pt idx="24">
                  <c:v>0.53510283445017537</c:v>
                </c:pt>
                <c:pt idx="25">
                  <c:v>0.55762754555777638</c:v>
                </c:pt>
                <c:pt idx="26">
                  <c:v>0.57974628634128944</c:v>
                </c:pt>
                <c:pt idx="27">
                  <c:v>0.60140191590586756</c:v>
                </c:pt>
                <c:pt idx="28">
                  <c:v>0.62254309096677285</c:v>
                </c:pt>
                <c:pt idx="29">
                  <c:v>0.64312438087590484</c:v>
                </c:pt>
                <c:pt idx="30">
                  <c:v>0.66310629833433454</c:v>
                </c:pt>
                <c:pt idx="31">
                  <c:v>0.68245525324263967</c:v>
                </c:pt>
                <c:pt idx="32">
                  <c:v>0.70114343779045751</c:v>
                </c:pt>
                <c:pt idx="33">
                  <c:v>0.71914865127842764</c:v>
                </c:pt>
                <c:pt idx="34">
                  <c:v>0.7364540733247178</c:v>
                </c:pt>
                <c:pt idx="35">
                  <c:v>0.75304799406250789</c:v>
                </c:pt>
                <c:pt idx="36">
                  <c:v>0.76892350971360912</c:v>
                </c:pt>
                <c:pt idx="37">
                  <c:v>0.78407819155656611</c:v>
                </c:pt>
                <c:pt idx="38">
                  <c:v>0.7985137358243104</c:v>
                </c:pt>
                <c:pt idx="39">
                  <c:v>0.81223560149449348</c:v>
                </c:pt>
                <c:pt idx="40">
                  <c:v>0.82525264230082007</c:v>
                </c:pt>
                <c:pt idx="41">
                  <c:v>0.83757673861949666</c:v>
                </c:pt>
                <c:pt idx="42">
                  <c:v>0.84922243419202714</c:v>
                </c:pt>
                <c:pt idx="43">
                  <c:v>0.86020658195203736</c:v>
                </c:pt>
                <c:pt idx="44">
                  <c:v>0.87054800254471276</c:v>
                </c:pt>
                <c:pt idx="45">
                  <c:v>0.88026715847519943</c:v>
                </c:pt>
                <c:pt idx="46">
                  <c:v>0.88938584620668115</c:v>
                </c:pt>
                <c:pt idx="47">
                  <c:v>0.8979269079571619</c:v>
                </c:pt>
                <c:pt idx="48">
                  <c:v>0.90591396442135474</c:v>
                </c:pt>
                <c:pt idx="49">
                  <c:v>0.91337116917366057</c:v>
                </c:pt>
                <c:pt idx="50">
                  <c:v>0.92032298509147914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D6-4882-8C54-EA84EE6D3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475248"/>
        <c:axId val="414478448"/>
      </c:lineChart>
      <c:catAx>
        <c:axId val="414475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Stock</a:t>
                </a:r>
                <a:r>
                  <a:rPr lang="en-IN" baseline="0"/>
                  <a:t> Price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478448"/>
        <c:crosses val="autoZero"/>
        <c:auto val="1"/>
        <c:lblAlgn val="ctr"/>
        <c:lblOffset val="100"/>
        <c:noMultiLvlLbl val="0"/>
      </c:catAx>
      <c:valAx>
        <c:axId val="41447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47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Theta</a:t>
            </a:r>
          </a:p>
        </c:rich>
      </c:tx>
      <c:layout>
        <c:manualLayout>
          <c:xMode val="edge"/>
          <c:yMode val="edge"/>
          <c:x val="0.45165569380635529"/>
          <c:y val="0.30539615173682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'Option Pricer'!$N$16:$N$66</c:f>
              <c:numCache>
                <c:formatCode>General</c:formatCode>
                <c:ptCount val="51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109</c:v>
                </c:pt>
                <c:pt idx="35">
                  <c:v>110</c:v>
                </c:pt>
                <c:pt idx="36">
                  <c:v>111</c:v>
                </c:pt>
                <c:pt idx="37">
                  <c:v>112</c:v>
                </c:pt>
                <c:pt idx="38">
                  <c:v>113</c:v>
                </c:pt>
                <c:pt idx="39">
                  <c:v>114</c:v>
                </c:pt>
                <c:pt idx="40">
                  <c:v>115</c:v>
                </c:pt>
                <c:pt idx="41">
                  <c:v>116</c:v>
                </c:pt>
                <c:pt idx="42">
                  <c:v>117</c:v>
                </c:pt>
                <c:pt idx="43">
                  <c:v>118</c:v>
                </c:pt>
                <c:pt idx="44">
                  <c:v>119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123</c:v>
                </c:pt>
                <c:pt idx="49">
                  <c:v>124</c:v>
                </c:pt>
                <c:pt idx="50">
                  <c:v>125</c:v>
                </c:pt>
              </c:numCache>
            </c:numRef>
          </c:cat>
          <c:val>
            <c:numRef>
              <c:f>'Option Pricer'!$R$16:$R$66</c:f>
              <c:numCache>
                <c:formatCode>General</c:formatCode>
                <c:ptCount val="51"/>
                <c:pt idx="0">
                  <c:v>-5.0808946366940333E-3</c:v>
                </c:pt>
                <c:pt idx="1">
                  <c:v>-5.7487275573295804E-3</c:v>
                </c:pt>
                <c:pt idx="2">
                  <c:v>-6.4587012131003263E-3</c:v>
                </c:pt>
                <c:pt idx="3">
                  <c:v>-7.2073028970089936E-3</c:v>
                </c:pt>
                <c:pt idx="4">
                  <c:v>-7.9902757542669178E-3</c:v>
                </c:pt>
                <c:pt idx="5">
                  <c:v>-8.8026792609987581E-3</c:v>
                </c:pt>
                <c:pt idx="6">
                  <c:v>-9.638966790234349E-3</c:v>
                </c:pt>
                <c:pt idx="7">
                  <c:v>-1.0493077797272932E-2</c:v>
                </c:pt>
                <c:pt idx="8">
                  <c:v>-1.1358541748311524E-2</c:v>
                </c:pt>
                <c:pt idx="9">
                  <c:v>-1.2228590639743686E-2</c:v>
                </c:pt>
                <c:pt idx="10">
                  <c:v>-1.3096276812060381E-2</c:v>
                </c:pt>
                <c:pt idx="11">
                  <c:v>-1.3954592748739003E-2</c:v>
                </c:pt>
                <c:pt idx="12">
                  <c:v>-1.4796589657294135E-2</c:v>
                </c:pt>
                <c:pt idx="13">
                  <c:v>-1.5615491839938045E-2</c:v>
                </c:pt>
                <c:pt idx="14">
                  <c:v>-1.6404804161574305E-2</c:v>
                </c:pt>
                <c:pt idx="15">
                  <c:v>-1.7158410290186055E-2</c:v>
                </c:pt>
                <c:pt idx="16">
                  <c:v>-1.7870659799996247E-2</c:v>
                </c:pt>
                <c:pt idx="17">
                  <c:v>-1.8536442672360209E-2</c:v>
                </c:pt>
                <c:pt idx="18">
                  <c:v>-1.9151250180883039E-2</c:v>
                </c:pt>
                <c:pt idx="19">
                  <c:v>-1.9711221593304629E-2</c:v>
                </c:pt>
                <c:pt idx="20">
                  <c:v>-2.0213176542753786E-2</c:v>
                </c:pt>
                <c:pt idx="21">
                  <c:v>-2.0654633309142412E-2</c:v>
                </c:pt>
                <c:pt idx="22">
                  <c:v>-2.1033813592673312E-2</c:v>
                </c:pt>
                <c:pt idx="23">
                  <c:v>-2.1349634653759608E-2</c:v>
                </c:pt>
                <c:pt idx="24">
                  <c:v>-2.1601689930342616E-2</c:v>
                </c:pt>
                <c:pt idx="25">
                  <c:v>-2.1790219424431712E-2</c:v>
                </c:pt>
                <c:pt idx="26">
                  <c:v>-2.1916071276613991E-2</c:v>
                </c:pt>
                <c:pt idx="27">
                  <c:v>-2.1980656019970013E-2</c:v>
                </c:pt>
                <c:pt idx="28">
                  <c:v>-2.1985895031349401E-2</c:v>
                </c:pt>
                <c:pt idx="29">
                  <c:v>-2.1934164679848323E-2</c:v>
                </c:pt>
                <c:pt idx="30">
                  <c:v>-2.1828237618059632E-2</c:v>
                </c:pt>
                <c:pt idx="31">
                  <c:v>-2.1671222575967874E-2</c:v>
                </c:pt>
                <c:pt idx="32">
                  <c:v>-2.146650390800886E-2</c:v>
                </c:pt>
                <c:pt idx="33">
                  <c:v>-2.1217682015603145E-2</c:v>
                </c:pt>
                <c:pt idx="34">
                  <c:v>-2.0928515627772981E-2</c:v>
                </c:pt>
                <c:pt idx="35">
                  <c:v>-2.0602866775462303E-2</c:v>
                </c:pt>
                <c:pt idx="36">
                  <c:v>-2.0244649147159066E-2</c:v>
                </c:pt>
                <c:pt idx="37">
                  <c:v>-1.9857780366947964E-2</c:v>
                </c:pt>
                <c:pt idx="38">
                  <c:v>-1.9446138596279638E-2</c:v>
                </c:pt>
                <c:pt idx="39">
                  <c:v>-1.9013523728943937E-2</c:v>
                </c:pt>
                <c:pt idx="40">
                  <c:v>-1.8563623328589074E-2</c:v>
                </c:pt>
                <c:pt idx="41">
                  <c:v>-1.8099983349600279E-2</c:v>
                </c:pt>
                <c:pt idx="42">
                  <c:v>-1.7625983587009841E-2</c:v>
                </c:pt>
                <c:pt idx="43">
                  <c:v>-1.7144817720577521E-2</c:v>
                </c:pt>
                <c:pt idx="44">
                  <c:v>-1.6659477749655593E-2</c:v>
                </c:pt>
                <c:pt idx="45">
                  <c:v>-1.617274256204837E-2</c:v>
                </c:pt>
                <c:pt idx="46">
                  <c:v>-1.5687170338040346E-2</c:v>
                </c:pt>
                <c:pt idx="47">
                  <c:v>-1.5205094460810642E-2</c:v>
                </c:pt>
                <c:pt idx="48">
                  <c:v>-1.4728622585863604E-2</c:v>
                </c:pt>
                <c:pt idx="49">
                  <c:v>-1.4259638511461503E-2</c:v>
                </c:pt>
                <c:pt idx="50">
                  <c:v>-1.3799806492144739E-2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B-4F6E-B81A-5F7943189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308624"/>
        <c:axId val="552307344"/>
      </c:lineChart>
      <c:catAx>
        <c:axId val="552308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Stock Price</a:t>
                </a:r>
              </a:p>
            </c:rich>
          </c:tx>
          <c:layout>
            <c:manualLayout>
              <c:xMode val="edge"/>
              <c:yMode val="edge"/>
              <c:x val="0.44831736212859935"/>
              <c:y val="8.230452674897119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07344"/>
        <c:crosses val="autoZero"/>
        <c:auto val="1"/>
        <c:lblAlgn val="ctr"/>
        <c:lblOffset val="100"/>
        <c:noMultiLvlLbl val="0"/>
      </c:catAx>
      <c:valAx>
        <c:axId val="55230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0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</a:t>
            </a:r>
            <a:r>
              <a:rPr lang="en-IN" baseline="0"/>
              <a:t> Vega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'Option Pricer'!$N$16:$N$66</c:f>
              <c:numCache>
                <c:formatCode>General</c:formatCode>
                <c:ptCount val="51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109</c:v>
                </c:pt>
                <c:pt idx="35">
                  <c:v>110</c:v>
                </c:pt>
                <c:pt idx="36">
                  <c:v>111</c:v>
                </c:pt>
                <c:pt idx="37">
                  <c:v>112</c:v>
                </c:pt>
                <c:pt idx="38">
                  <c:v>113</c:v>
                </c:pt>
                <c:pt idx="39">
                  <c:v>114</c:v>
                </c:pt>
                <c:pt idx="40">
                  <c:v>115</c:v>
                </c:pt>
                <c:pt idx="41">
                  <c:v>116</c:v>
                </c:pt>
                <c:pt idx="42">
                  <c:v>117</c:v>
                </c:pt>
                <c:pt idx="43">
                  <c:v>118</c:v>
                </c:pt>
                <c:pt idx="44">
                  <c:v>119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123</c:v>
                </c:pt>
                <c:pt idx="49">
                  <c:v>124</c:v>
                </c:pt>
                <c:pt idx="50">
                  <c:v>125</c:v>
                </c:pt>
              </c:numCache>
            </c:numRef>
          </c:cat>
          <c:val>
            <c:numRef>
              <c:f>'Option Pricer'!$S$16:$S$66</c:f>
              <c:numCache>
                <c:formatCode>General</c:formatCode>
                <c:ptCount val="51"/>
                <c:pt idx="0">
                  <c:v>3.665348039291402</c:v>
                </c:pt>
                <c:pt idx="1">
                  <c:v>4.2799016175849802</c:v>
                </c:pt>
                <c:pt idx="2">
                  <c:v>4.964303305817368</c:v>
                </c:pt>
                <c:pt idx="3">
                  <c:v>5.7214346193517764</c:v>
                </c:pt>
                <c:pt idx="4">
                  <c:v>6.5536753592591426</c:v>
                </c:pt>
                <c:pt idx="5">
                  <c:v>7.4628527725470262</c:v>
                </c:pt>
                <c:pt idx="6">
                  <c:v>8.4502007175174558</c:v>
                </c:pt>
                <c:pt idx="7">
                  <c:v>9.5163297334627988</c:v>
                </c:pt>
                <c:pt idx="8">
                  <c:v>10.661208574217643</c:v>
                </c:pt>
                <c:pt idx="9">
                  <c:v>11.884157423277264</c:v>
                </c:pt>
                <c:pt idx="10">
                  <c:v>13.183852677382031</c:v>
                </c:pt>
                <c:pt idx="11">
                  <c:v>14.558342877158752</c:v>
                </c:pt>
                <c:pt idx="12">
                  <c:v>16.005075087135243</c:v>
                </c:pt>
                <c:pt idx="13">
                  <c:v>17.520930790532194</c:v>
                </c:pt>
                <c:pt idx="14">
                  <c:v>19.102270171733586</c:v>
                </c:pt>
                <c:pt idx="15">
                  <c:v>20.744983514041433</c:v>
                </c:pt>
                <c:pt idx="16">
                  <c:v>22.44454834292808</c:v>
                </c:pt>
                <c:pt idx="17">
                  <c:v>24.196090894323984</c:v>
                </c:pt>
                <c:pt idx="18">
                  <c:v>25.994450480730521</c:v>
                </c:pt>
                <c:pt idx="19">
                  <c:v>27.834245361053451</c:v>
                </c:pt>
                <c:pt idx="20">
                  <c:v>29.709938787974917</c:v>
                </c:pt>
                <c:pt idx="21">
                  <c:v>31.61590400375076</c:v>
                </c:pt>
                <c:pt idx="22">
                  <c:v>33.546487075530585</c:v>
                </c:pt>
                <c:pt idx="23">
                  <c:v>35.496066598586204</c:v>
                </c:pt>
                <c:pt idx="24">
                  <c:v>37.459109444314294</c:v>
                </c:pt>
                <c:pt idx="25">
                  <c:v>39.430221884031418</c:v>
                </c:pt>
                <c:pt idx="26">
                  <c:v>41.404195574404014</c:v>
                </c:pt>
                <c:pt idx="27">
                  <c:v>43.376048041473318</c:v>
                </c:pt>
                <c:pt idx="28">
                  <c:v>45.341057443954199</c:v>
                </c:pt>
                <c:pt idx="29">
                  <c:v>47.294791529830242</c:v>
                </c:pt>
                <c:pt idx="30">
                  <c:v>49.233130820970374</c:v>
                </c:pt>
                <c:pt idx="31">
                  <c:v>51.152286166970825</c:v>
                </c:pt>
                <c:pt idx="32">
                  <c:v>53.048810900730643</c:v>
                </c:pt>
                <c:pt idx="33">
                  <c:v>54.919607904014683</c:v>
                </c:pt>
                <c:pt idx="34">
                  <c:v>56.761931951559554</c:v>
                </c:pt>
                <c:pt idx="35">
                  <c:v>58.573387747657897</c:v>
                </c:pt>
                <c:pt idx="36">
                  <c:v>60.351924100480112</c:v>
                </c:pt>
                <c:pt idx="37">
                  <c:v>62.095824697774866</c:v>
                </c:pt>
                <c:pt idx="38">
                  <c:v>63.803695954332987</c:v>
                </c:pt>
                <c:pt idx="39">
                  <c:v>65.474452398119539</c:v>
                </c:pt>
                <c:pt idx="40">
                  <c:v>67.107300049748005</c:v>
                </c:pt>
                <c:pt idx="41">
                  <c:v>68.701718230467193</c:v>
                </c:pt>
                <c:pt idx="42">
                  <c:v>70.257440208492696</c:v>
                </c:pt>
                <c:pt idx="43">
                  <c:v>71.774433063711299</c:v>
                </c:pt>
                <c:pt idx="44">
                  <c:v>73.252877117784664</c:v>
                </c:pt>
                <c:pt idx="45">
                  <c:v>74.693145241635222</c:v>
                </c:pt>
                <c:pt idx="46">
                  <c:v>76.095782316233695</c:v>
                </c:pt>
                <c:pt idx="47">
                  <c:v>77.461485086418136</c:v>
                </c:pt>
                <c:pt idx="48">
                  <c:v>78.791082611913225</c:v>
                </c:pt>
                <c:pt idx="49">
                  <c:v>80.085517485409611</c:v>
                </c:pt>
                <c:pt idx="50">
                  <c:v>81.345827955003855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5-4F3E-ADBE-6A3617EF6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321104"/>
        <c:axId val="552323984"/>
      </c:lineChart>
      <c:catAx>
        <c:axId val="552321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23984"/>
        <c:crosses val="autoZero"/>
        <c:auto val="1"/>
        <c:lblAlgn val="ctr"/>
        <c:lblOffset val="100"/>
        <c:noMultiLvlLbl val="0"/>
      </c:catAx>
      <c:valAx>
        <c:axId val="5523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2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203849518812E-2"/>
          <c:y val="0.18097222222222226"/>
          <c:w val="0.87122462817147861"/>
          <c:h val="0.7084109798775153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'Option Pricer'!$N$16:$N$66</c:f>
              <c:numCache>
                <c:formatCode>General</c:formatCode>
                <c:ptCount val="51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109</c:v>
                </c:pt>
                <c:pt idx="35">
                  <c:v>110</c:v>
                </c:pt>
                <c:pt idx="36">
                  <c:v>111</c:v>
                </c:pt>
                <c:pt idx="37">
                  <c:v>112</c:v>
                </c:pt>
                <c:pt idx="38">
                  <c:v>113</c:v>
                </c:pt>
                <c:pt idx="39">
                  <c:v>114</c:v>
                </c:pt>
                <c:pt idx="40">
                  <c:v>115</c:v>
                </c:pt>
                <c:pt idx="41">
                  <c:v>116</c:v>
                </c:pt>
                <c:pt idx="42">
                  <c:v>117</c:v>
                </c:pt>
                <c:pt idx="43">
                  <c:v>118</c:v>
                </c:pt>
                <c:pt idx="44">
                  <c:v>119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123</c:v>
                </c:pt>
                <c:pt idx="49">
                  <c:v>124</c:v>
                </c:pt>
                <c:pt idx="50">
                  <c:v>125</c:v>
                </c:pt>
              </c:numCache>
            </c:numRef>
          </c:cat>
          <c:val>
            <c:numRef>
              <c:f>'Option Pricer'!$T$16:$T$66</c:f>
              <c:numCache>
                <c:formatCode>General</c:formatCode>
                <c:ptCount val="51"/>
                <c:pt idx="0">
                  <c:v>5.212939433658882E-3</c:v>
                </c:pt>
                <c:pt idx="1">
                  <c:v>5.9278415756024647E-3</c:v>
                </c:pt>
                <c:pt idx="2">
                  <c:v>6.6983347017269251E-3</c:v>
                </c:pt>
                <c:pt idx="3">
                  <c:v>7.5232539373461882E-3</c:v>
                </c:pt>
                <c:pt idx="4">
                  <c:v>8.4008016141761156E-3</c:v>
                </c:pt>
                <c:pt idx="5">
                  <c:v>9.3285659656837817E-3</c:v>
                </c:pt>
                <c:pt idx="6">
                  <c:v>1.0303552162801348E-2</c:v>
                </c:pt>
                <c:pt idx="7">
                  <c:v>1.1322224549033666E-2</c:v>
                </c:pt>
                <c:pt idx="8">
                  <c:v>1.2380558657822779E-2</c:v>
                </c:pt>
                <c:pt idx="9">
                  <c:v>1.3474101386935671E-2</c:v>
                </c:pt>
                <c:pt idx="10">
                  <c:v>1.4598037566651382E-2</c:v>
                </c:pt>
                <c:pt idx="11">
                  <c:v>1.5747261089409142E-2</c:v>
                </c:pt>
                <c:pt idx="12">
                  <c:v>1.6916448764312579E-2</c:v>
                </c:pt>
                <c:pt idx="13">
                  <c:v>1.8100135114186146E-2</c:v>
                </c:pt>
                <c:pt idx="14">
                  <c:v>1.9292786437806929E-2</c:v>
                </c:pt>
                <c:pt idx="15">
                  <c:v>2.0488872606460672E-2</c:v>
                </c:pt>
                <c:pt idx="16">
                  <c:v>2.1682935242534066E-2</c:v>
                </c:pt>
                <c:pt idx="17">
                  <c:v>2.2869651128850643E-2</c:v>
                </c:pt>
                <c:pt idx="18">
                  <c:v>2.4043889911648068E-2</c:v>
                </c:pt>
                <c:pt idx="19">
                  <c:v>2.5200765378952869E-2</c:v>
                </c:pt>
                <c:pt idx="20">
                  <c:v>2.6335679812055323E-2</c:v>
                </c:pt>
                <c:pt idx="21">
                  <c:v>2.7444361114366975E-2</c:v>
                </c:pt>
                <c:pt idx="22">
                  <c:v>2.8522892613906326E-2</c:v>
                </c:pt>
                <c:pt idx="23">
                  <c:v>2.9567735608984753E-2</c:v>
                </c:pt>
                <c:pt idx="24">
                  <c:v>3.0575744878534258E-2</c:v>
                </c:pt>
                <c:pt idx="25">
                  <c:v>3.154417750722513E-2</c:v>
                </c:pt>
                <c:pt idx="26">
                  <c:v>3.2470695480367816E-2</c:v>
                </c:pt>
                <c:pt idx="27">
                  <c:v>3.3353362584754569E-2</c:v>
                </c:pt>
                <c:pt idx="28">
                  <c:v>3.4190636209975825E-2</c:v>
                </c:pt>
                <c:pt idx="29">
                  <c:v>3.4981354681827094E-2</c:v>
                </c:pt>
                <c:pt idx="30">
                  <c:v>3.5724720777121355E-2</c:v>
                </c:pt>
                <c:pt idx="31">
                  <c:v>3.6420282069754943E-2</c:v>
                </c:pt>
                <c:pt idx="32">
                  <c:v>3.7067908743632208E-2</c:v>
                </c:pt>
                <c:pt idx="33">
                  <c:v>3.7667769481491545E-2</c:v>
                </c:pt>
                <c:pt idx="34">
                  <c:v>3.8220306002228463E-2</c:v>
                </c:pt>
                <c:pt idx="35">
                  <c:v>3.8726206775311002E-2</c:v>
                </c:pt>
                <c:pt idx="36">
                  <c:v>3.9186380391513738E-2</c:v>
                </c:pt>
                <c:pt idx="37">
                  <c:v>3.9601929016438046E-2</c:v>
                </c:pt>
                <c:pt idx="38">
                  <c:v>3.9974122298900759E-2</c:v>
                </c:pt>
                <c:pt idx="39">
                  <c:v>4.0304372051781792E-2</c:v>
                </c:pt>
                <c:pt idx="40">
                  <c:v>4.0594207969601816E-2</c:v>
                </c:pt>
                <c:pt idx="41">
                  <c:v>4.0845254595997138E-2</c:v>
                </c:pt>
                <c:pt idx="42">
                  <c:v>4.1059209706183181E-2</c:v>
                </c:pt>
                <c:pt idx="43">
                  <c:v>4.1237824225056757E-2</c:v>
                </c:pt>
                <c:pt idx="44">
                  <c:v>4.138288376119463E-2</c:v>
                </c:pt>
                <c:pt idx="45">
                  <c:v>4.1496191800908452E-2</c:v>
                </c:pt>
                <c:pt idx="46">
                  <c:v>4.1579554574815207E-2</c:v>
                </c:pt>
                <c:pt idx="47">
                  <c:v>4.1634767582057579E-2</c:v>
                </c:pt>
                <c:pt idx="48">
                  <c:v>4.166360373423926E-2</c:v>
                </c:pt>
                <c:pt idx="49">
                  <c:v>4.1667803062127778E-2</c:v>
                </c:pt>
                <c:pt idx="50">
                  <c:v>4.164906391296197E-2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B-43C4-9335-E443557C3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939000"/>
        <c:axId val="507937080"/>
      </c:lineChart>
      <c:catAx>
        <c:axId val="507939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Stock</a:t>
                </a:r>
                <a:r>
                  <a:rPr lang="en-IN" baseline="0"/>
                  <a:t> Price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37080"/>
        <c:crosses val="autoZero"/>
        <c:auto val="1"/>
        <c:lblAlgn val="ctr"/>
        <c:lblOffset val="100"/>
        <c:noMultiLvlLbl val="0"/>
      </c:catAx>
      <c:valAx>
        <c:axId val="50793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3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Call Rho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'Option Pricer'!$N$16:$N$66</c:f>
              <c:numCache>
                <c:formatCode>General</c:formatCode>
                <c:ptCount val="51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109</c:v>
                </c:pt>
                <c:pt idx="35">
                  <c:v>110</c:v>
                </c:pt>
                <c:pt idx="36">
                  <c:v>111</c:v>
                </c:pt>
                <c:pt idx="37">
                  <c:v>112</c:v>
                </c:pt>
                <c:pt idx="38">
                  <c:v>113</c:v>
                </c:pt>
                <c:pt idx="39">
                  <c:v>114</c:v>
                </c:pt>
                <c:pt idx="40">
                  <c:v>115</c:v>
                </c:pt>
                <c:pt idx="41">
                  <c:v>116</c:v>
                </c:pt>
                <c:pt idx="42">
                  <c:v>117</c:v>
                </c:pt>
                <c:pt idx="43">
                  <c:v>118</c:v>
                </c:pt>
                <c:pt idx="44">
                  <c:v>119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123</c:v>
                </c:pt>
                <c:pt idx="49">
                  <c:v>124</c:v>
                </c:pt>
                <c:pt idx="50">
                  <c:v>125</c:v>
                </c:pt>
              </c:numCache>
            </c:numRef>
          </c:cat>
          <c:val>
            <c:numRef>
              <c:f>'Option Pricer'!$U$16:$U$66</c:f>
              <c:numCache>
                <c:formatCode>General</c:formatCode>
                <c:ptCount val="51"/>
                <c:pt idx="0">
                  <c:v>2.402762645484203</c:v>
                </c:pt>
                <c:pt idx="1">
                  <c:v>2.8001705086096722</c:v>
                </c:pt>
                <c:pt idx="2">
                  <c:v>3.2414537076487027</c:v>
                </c:pt>
                <c:pt idx="3">
                  <c:v>3.7281413080529529</c:v>
                </c:pt>
                <c:pt idx="4">
                  <c:v>4.2614032987719295</c:v>
                </c:pt>
                <c:pt idx="5">
                  <c:v>4.8420195554136809</c:v>
                </c:pt>
                <c:pt idx="6">
                  <c:v>5.4703559765002723</c:v>
                </c:pt>
                <c:pt idx="7">
                  <c:v>6.1463483304615254</c:v>
                </c:pt>
                <c:pt idx="8">
                  <c:v>6.8694941128835092</c:v>
                </c:pt>
                <c:pt idx="9">
                  <c:v>7.6388524766017847</c:v>
                </c:pt>
                <c:pt idx="10">
                  <c:v>8.4530520704506085</c:v>
                </c:pt>
                <c:pt idx="11">
                  <c:v>9.3103064135947289</c:v>
                </c:pt>
                <c:pt idx="12">
                  <c:v>10.208436247688718</c:v>
                </c:pt>
                <c:pt idx="13">
                  <c:v>11.144898153363398</c:v>
                </c:pt>
                <c:pt idx="14">
                  <c:v>12.116818593849031</c:v>
                </c:pt>
                <c:pt idx="15">
                  <c:v>13.121032458460922</c:v>
                </c:pt>
                <c:pt idx="16">
                  <c:v>14.154125122291177</c:v>
                </c:pt>
                <c:pt idx="17">
                  <c:v>15.212477014581459</c:v>
                </c:pt>
                <c:pt idx="18">
                  <c:v>16.292309694627484</c:v>
                </c:pt>
                <c:pt idx="19">
                  <c:v>17.389732467565835</c:v>
                </c:pt>
                <c:pt idx="20">
                  <c:v>18.500788629278151</c:v>
                </c:pt>
                <c:pt idx="21">
                  <c:v>19.621500505784439</c:v>
                </c:pt>
                <c:pt idx="22">
                  <c:v>20.747912543577488</c:v>
                </c:pt>
                <c:pt idx="23">
                  <c:v>21.876131809069093</c:v>
                </c:pt>
                <c:pt idx="24">
                  <c:v>23.002365363545998</c:v>
                </c:pt>
                <c:pt idx="25">
                  <c:v>24.122954090932392</c:v>
                </c:pt>
                <c:pt idx="26">
                  <c:v>25.234402665789339</c:v>
                </c:pt>
                <c:pt idx="27">
                  <c:v>26.333405455373828</c:v>
                </c:pt>
                <c:pt idx="28">
                  <c:v>27.416868249758267</c:v>
                </c:pt>
                <c:pt idx="29">
                  <c:v>28.481925806016335</c:v>
                </c:pt>
                <c:pt idx="30">
                  <c:v>29.525955274862312</c:v>
                </c:pt>
                <c:pt idx="31">
                  <c:v>30.546585649916906</c:v>
                </c:pt>
                <c:pt idx="32">
                  <c:v>31.541703440434748</c:v>
                </c:pt>
                <c:pt idx="33">
                  <c:v>32.509454817730692</c:v>
                </c:pt>
                <c:pt idx="34">
                  <c:v>33.448244523885521</c:v>
                </c:pt>
                <c:pt idx="35">
                  <c:v>34.356731859078259</c:v>
                </c:pt>
                <c:pt idx="36">
                  <c:v>35.233824081786295</c:v>
                </c:pt>
                <c:pt idx="37">
                  <c:v>36.078667564986809</c:v>
                </c:pt>
                <c:pt idx="38">
                  <c:v>36.890637052368383</c:v>
                </c:pt>
                <c:pt idx="39">
                  <c:v>37.669323352473619</c:v>
                </c:pt>
                <c:pt idx="40">
                  <c:v>38.414519796719567</c:v>
                </c:pt>
                <c:pt idx="41">
                  <c:v>39.1262077704558</c:v>
                </c:pt>
                <c:pt idx="42">
                  <c:v>39.804541605647913</c:v>
                </c:pt>
                <c:pt idx="43">
                  <c:v>40.449833100393256</c:v>
                </c:pt>
                <c:pt idx="44">
                  <c:v>41.062535905176759</c:v>
                </c:pt>
                <c:pt idx="45">
                  <c:v>41.643229989365132</c:v>
                </c:pt>
                <c:pt idx="46">
                  <c:v>42.19260637462439</c:v>
                </c:pt>
                <c:pt idx="47">
                  <c:v>42.711452295340685</c:v>
                </c:pt>
                <c:pt idx="48">
                  <c:v>43.200636920236555</c:v>
                </c:pt>
                <c:pt idx="49">
                  <c:v>43.66109774462182</c:v>
                </c:pt>
                <c:pt idx="50">
                  <c:v>44.093827739423553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1-4640-AA32-31340CFD8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949880"/>
        <c:axId val="507946360"/>
      </c:lineChart>
      <c:catAx>
        <c:axId val="507949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46360"/>
        <c:crosses val="autoZero"/>
        <c:auto val="1"/>
        <c:lblAlgn val="ctr"/>
        <c:lblOffset val="100"/>
        <c:noMultiLvlLbl val="0"/>
      </c:catAx>
      <c:valAx>
        <c:axId val="50794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4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390525</xdr:colOff>
      <xdr:row>1</xdr:row>
      <xdr:rowOff>28575</xdr:rowOff>
    </xdr:from>
    <xdr:to>
      <xdr:col>24</xdr:col>
      <xdr:colOff>590550</xdr:colOff>
      <xdr:row>5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1A59848-4E16-4C83-A849-B41F1B38F063}"/>
            </a:ext>
          </a:extLst>
        </xdr:cNvPr>
        <xdr:cNvSpPr txBox="1"/>
      </xdr:nvSpPr>
      <xdr:spPr>
        <a:xfrm>
          <a:off x="11706225" y="219075"/>
          <a:ext cx="5076825" cy="790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In this instance we can exactly evaluate the solution to the problem.</a:t>
          </a:r>
        </a:p>
        <a:p>
          <a:endParaRPr lang="en-GB" sz="1100"/>
        </a:p>
        <a:p>
          <a:r>
            <a:rPr lang="en-GB" sz="1100"/>
            <a:t>We can draw the sample</a:t>
          </a:r>
          <a:r>
            <a:rPr lang="en-GB" sz="1100" baseline="0"/>
            <a:t> space</a:t>
          </a:r>
        </a:p>
        <a:p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466724</xdr:colOff>
      <xdr:row>2</xdr:row>
      <xdr:rowOff>171450</xdr:rowOff>
    </xdr:from>
    <xdr:to>
      <xdr:col>23</xdr:col>
      <xdr:colOff>171449</xdr:colOff>
      <xdr:row>20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A1FD2F-CFE1-4ABD-A2E6-77CC0397E2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371474</xdr:colOff>
      <xdr:row>0</xdr:row>
      <xdr:rowOff>66676</xdr:rowOff>
    </xdr:from>
    <xdr:to>
      <xdr:col>27</xdr:col>
      <xdr:colOff>295275</xdr:colOff>
      <xdr:row>33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2">
              <a:extLst>
                <a:ext uri="{FF2B5EF4-FFF2-40B4-BE49-F238E27FC236}">
                  <a16:creationId xmlns:a16="http://schemas.microsoft.com/office/drawing/2014/main" id="{63A5D9D5-D1A5-42DF-979D-8BDAB295899F}"/>
                </a:ext>
              </a:extLst>
            </xdr:cNvPr>
            <xdr:cNvSpPr>
              <a:spLocks noGrp="1"/>
            </xdr:cNvSpPr>
          </xdr:nvSpPr>
          <xdr:spPr>
            <a:xfrm>
              <a:off x="8905874" y="66676"/>
              <a:ext cx="7848601" cy="6257924"/>
            </a:xfrm>
            <a:prstGeom prst="rect">
              <a:avLst/>
            </a:prstGeom>
          </xdr:spPr>
          <xdr:txBody>
            <a:bodyPr vert="horz" wrap="square" lIns="0" tIns="45720" rIns="0" bIns="45720" rtlCol="0">
              <a:normAutofit fontScale="85000" lnSpcReduction="20000"/>
            </a:bodyPr>
            <a:lstStyle>
              <a:lvl1pPr marL="91440" indent="-91440" algn="l" defTabSz="914400" rtl="0" eaLnBrk="1" latinLnBrk="0" hangingPunct="1">
                <a:lnSpc>
                  <a:spcPct val="110000"/>
                </a:lnSpc>
                <a:spcBef>
                  <a:spcPts val="1200"/>
                </a:spcBef>
                <a:spcAft>
                  <a:spcPts val="200"/>
                </a:spcAft>
                <a:buClr>
                  <a:schemeClr val="accent1"/>
                </a:buClr>
                <a:buSzPct val="100000"/>
                <a:buFont typeface="Calibri" panose="020F0502020204030204" pitchFamily="34" charset="0"/>
                <a:buChar char=" "/>
                <a:defRPr sz="19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1pPr>
              <a:lvl2pPr marL="384048" indent="-182880" algn="l" defTabSz="914400" rtl="0" eaLnBrk="1" latinLnBrk="0" hangingPunct="1">
                <a:lnSpc>
                  <a:spcPct val="100000"/>
                </a:lnSpc>
                <a:spcBef>
                  <a:spcPts val="200"/>
                </a:spcBef>
                <a:spcAft>
                  <a:spcPts val="400"/>
                </a:spcAft>
                <a:buClrTx/>
                <a:buFont typeface="Calibri" pitchFamily="34" charset="0"/>
                <a:buChar char="◦"/>
                <a:defRPr sz="17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2pPr>
              <a:lvl3pPr marL="566928" indent="-182880" algn="l" defTabSz="914400" rtl="0" eaLnBrk="1" latinLnBrk="0" hangingPunct="1">
                <a:lnSpc>
                  <a:spcPct val="100000"/>
                </a:lnSpc>
                <a:spcBef>
                  <a:spcPts val="200"/>
                </a:spcBef>
                <a:spcAft>
                  <a:spcPts val="400"/>
                </a:spcAft>
                <a:buClrTx/>
                <a:buFont typeface="Calibri" pitchFamily="34" charset="0"/>
                <a:buChar char="◦"/>
                <a:defRPr sz="13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3pPr>
              <a:lvl4pPr marL="749808" indent="-182880" algn="l" defTabSz="914400" rtl="0" eaLnBrk="1" latinLnBrk="0" hangingPunct="1">
                <a:lnSpc>
                  <a:spcPct val="100000"/>
                </a:lnSpc>
                <a:spcBef>
                  <a:spcPts val="200"/>
                </a:spcBef>
                <a:spcAft>
                  <a:spcPts val="400"/>
                </a:spcAft>
                <a:buClrTx/>
                <a:buFont typeface="Calibri" pitchFamily="34" charset="0"/>
                <a:buChar char="◦"/>
                <a:defRPr sz="13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4pPr>
              <a:lvl5pPr marL="932688" indent="-182880" algn="l" defTabSz="914400" rtl="0" eaLnBrk="1" latinLnBrk="0" hangingPunct="1">
                <a:lnSpc>
                  <a:spcPct val="100000"/>
                </a:lnSpc>
                <a:spcBef>
                  <a:spcPts val="200"/>
                </a:spcBef>
                <a:spcAft>
                  <a:spcPts val="400"/>
                </a:spcAft>
                <a:buClrTx/>
                <a:buFont typeface="Calibri" pitchFamily="34" charset="0"/>
                <a:buChar char="◦"/>
                <a:defRPr sz="13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5pPr>
              <a:lvl6pPr marL="1100000" indent="-228600" algn="l" defTabSz="914400" rtl="0" eaLnBrk="1" latinLnBrk="0" hangingPunct="1">
                <a:lnSpc>
                  <a:spcPct val="90000"/>
                </a:lnSpc>
                <a:spcBef>
                  <a:spcPts val="200"/>
                </a:spcBef>
                <a:spcAft>
                  <a:spcPts val="400"/>
                </a:spcAft>
                <a:buClr>
                  <a:schemeClr val="accent1"/>
                </a:buClr>
                <a:buFont typeface="Calibri" pitchFamily="34" charset="0"/>
                <a:buChar char="◦"/>
                <a:defRPr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6pPr>
              <a:lvl7pPr marL="1300000" indent="-228600" algn="l" defTabSz="914400" rtl="0" eaLnBrk="1" latinLnBrk="0" hangingPunct="1">
                <a:lnSpc>
                  <a:spcPct val="90000"/>
                </a:lnSpc>
                <a:spcBef>
                  <a:spcPts val="200"/>
                </a:spcBef>
                <a:spcAft>
                  <a:spcPts val="400"/>
                </a:spcAft>
                <a:buClr>
                  <a:schemeClr val="accent1"/>
                </a:buClr>
                <a:buFont typeface="Calibri" pitchFamily="34" charset="0"/>
                <a:buChar char="◦"/>
                <a:defRPr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7pPr>
              <a:lvl8pPr marL="1500000" indent="-228600" algn="l" defTabSz="914400" rtl="0" eaLnBrk="1" latinLnBrk="0" hangingPunct="1">
                <a:lnSpc>
                  <a:spcPct val="90000"/>
                </a:lnSpc>
                <a:spcBef>
                  <a:spcPts val="200"/>
                </a:spcBef>
                <a:spcAft>
                  <a:spcPts val="400"/>
                </a:spcAft>
                <a:buClr>
                  <a:schemeClr val="accent1"/>
                </a:buClr>
                <a:buFont typeface="Calibri" pitchFamily="34" charset="0"/>
                <a:buChar char="◦"/>
                <a:defRPr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8pPr>
              <a:lvl9pPr marL="1700000" indent="-228600" algn="l" defTabSz="914400" rtl="0" eaLnBrk="1" latinLnBrk="0" hangingPunct="1">
                <a:lnSpc>
                  <a:spcPct val="90000"/>
                </a:lnSpc>
                <a:spcBef>
                  <a:spcPts val="200"/>
                </a:spcBef>
                <a:spcAft>
                  <a:spcPts val="400"/>
                </a:spcAft>
                <a:buClr>
                  <a:schemeClr val="accent1"/>
                </a:buClr>
                <a:buFont typeface="Calibri" pitchFamily="34" charset="0"/>
                <a:buChar char="◦"/>
                <a:defRPr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IE" sz="1400" b="1"/>
                <a:t>Question 1</a:t>
              </a:r>
            </a:p>
            <a:p>
              <a:r>
                <a:rPr lang="en-IE" sz="1400"/>
                <a:t>Write a VBA function to find the FX forward price given a spot rate, time to maturity and base and counter currency interest rates.</a:t>
              </a:r>
            </a:p>
            <a:p>
              <a:endParaRPr lang="en-IE" sz="1400"/>
            </a:p>
            <a:p>
              <a:pPr marL="0" indent="0">
                <a:buNone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E" sz="1400" b="0" i="1">
                        <a:latin typeface="Cambria Math"/>
                      </a:rPr>
                      <m:t>𝐹</m:t>
                    </m:r>
                    <m:r>
                      <a:rPr lang="en-IE" sz="1400" b="0" i="1">
                        <a:latin typeface="Cambria Math"/>
                      </a:rPr>
                      <m:t>=</m:t>
                    </m:r>
                    <m:r>
                      <a:rPr lang="en-IE" sz="1400" b="0" i="1">
                        <a:latin typeface="Cambria Math"/>
                      </a:rPr>
                      <m:t>𝑆</m:t>
                    </m:r>
                    <m:f>
                      <m:fPr>
                        <m:ctrlPr>
                          <a:rPr lang="en-IE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IE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IE" sz="1400" b="0" i="1">
                                <a:latin typeface="Cambria Math"/>
                              </a:rPr>
                              <m:t>1+</m:t>
                            </m:r>
                            <m:sSub>
                              <m:sSubPr>
                                <m:ctrlPr>
                                  <a:rPr lang="en-IE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IE" sz="1400" b="0" i="1">
                                    <a:latin typeface="Cambria Math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IE" sz="1400" b="0" i="1">
                                    <a:latin typeface="Cambria Math"/>
                                  </a:rPr>
                                  <m:t>𝑐</m:t>
                                </m:r>
                              </m:sub>
                            </m:sSub>
                            <m:r>
                              <a:rPr lang="en-IE" sz="1400" b="0" i="1">
                                <a:latin typeface="Cambria Math"/>
                              </a:rPr>
                              <m:t>𝑡</m:t>
                            </m:r>
                          </m:e>
                        </m:d>
                      </m:num>
                      <m:den>
                        <m:d>
                          <m:dPr>
                            <m:ctrlPr>
                              <a:rPr lang="en-IE" sz="14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IE" sz="1400" i="1">
                                <a:latin typeface="Cambria Math"/>
                              </a:rPr>
                              <m:t>1+</m:t>
                            </m:r>
                            <m:sSub>
                              <m:sSubPr>
                                <m:ctrlPr>
                                  <a:rPr lang="en-IE" sz="14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IE" sz="1400" i="1">
                                    <a:latin typeface="Cambria Math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IE" sz="1400" b="0" i="1">
                                    <a:latin typeface="Cambria Math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IE" sz="1400" i="1">
                                <a:latin typeface="Cambria Math"/>
                              </a:rPr>
                              <m:t>𝑡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IE" sz="1400"/>
            </a:p>
            <a:p>
              <a:r>
                <a:rPr lang="en-IE" sz="1400"/>
                <a:t>Write a VBA function to determine the value of an FX forward position traded at </a:t>
              </a:r>
              <a14:m>
                <m:oMath xmlns:m="http://schemas.openxmlformats.org/officeDocument/2006/math">
                  <m:sSub>
                    <m:sSubPr>
                      <m:ctrlPr>
                        <a:rPr lang="en-IE" sz="14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E" sz="1400" b="0" i="1">
                          <a:latin typeface="Cambria Math"/>
                        </a:rPr>
                        <m:t>𝐹</m:t>
                      </m:r>
                    </m:e>
                    <m:sub>
                      <m:r>
                        <a:rPr lang="en-IE" sz="1400" b="0" i="1">
                          <a:latin typeface="Cambria Math"/>
                        </a:rPr>
                        <m:t>0</m:t>
                      </m:r>
                    </m:sub>
                  </m:sSub>
                </m:oMath>
              </a14:m>
              <a:endParaRPr lang="en-IE" sz="1400"/>
            </a:p>
            <a:p>
              <a:endParaRPr lang="en-IE" sz="1400"/>
            </a:p>
            <a:p>
              <a:pPr marL="0" indent="0" algn="ctr">
                <a:buNone/>
              </a:pPr>
              <a14:m>
                <m:oMath xmlns:m="http://schemas.openxmlformats.org/officeDocument/2006/math">
                  <m:r>
                    <a:rPr lang="en-IE" sz="1400" b="0" i="1">
                      <a:latin typeface="Cambria Math"/>
                    </a:rPr>
                    <m:t>𝑉𝑎𝑙𝑢𝑒</m:t>
                  </m:r>
                  <m:r>
                    <a:rPr lang="en-IE" sz="1400" b="0" i="1">
                      <a:latin typeface="Cambria Math"/>
                    </a:rPr>
                    <m:t>=</m:t>
                  </m:r>
                  <m:f>
                    <m:fPr>
                      <m:ctrlPr>
                        <a:rPr lang="en-IE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IE" sz="1400" b="0" i="1">
                          <a:latin typeface="Cambria Math"/>
                        </a:rPr>
                        <m:t>𝑆</m:t>
                      </m:r>
                    </m:num>
                    <m:den>
                      <m:d>
                        <m:dPr>
                          <m:ctrlPr>
                            <a:rPr lang="en-IE" sz="14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IE" sz="1400" i="1">
                              <a:latin typeface="Cambria Math"/>
                            </a:rPr>
                            <m:t>1+</m:t>
                          </m:r>
                          <m:sSub>
                            <m:sSubPr>
                              <m:ctrlPr>
                                <a:rPr lang="en-IE" sz="140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IE" sz="1400" i="1">
                                  <a:latin typeface="Cambria Math"/>
                                </a:rPr>
                                <m:t>𝑟</m:t>
                              </m:r>
                            </m:e>
                            <m:sub>
                              <m:r>
                                <a:rPr lang="en-IE" sz="1400" i="1">
                                  <a:latin typeface="Cambria Math"/>
                                </a:rPr>
                                <m:t>𝑏</m:t>
                              </m:r>
                            </m:sub>
                          </m:sSub>
                          <m:r>
                            <a:rPr lang="en-IE" sz="1400" i="1">
                              <a:latin typeface="Cambria Math"/>
                            </a:rPr>
                            <m:t>𝑡</m:t>
                          </m:r>
                        </m:e>
                      </m:d>
                    </m:den>
                  </m:f>
                  <m:r>
                    <a:rPr lang="en-IE" sz="1400" b="0" i="1">
                      <a:latin typeface="Cambria Math"/>
                    </a:rPr>
                    <m:t>−</m:t>
                  </m:r>
                </m:oMath>
              </a14:m>
              <a:r>
                <a:rPr lang="en-IE" sz="1400"/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IE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IE" sz="140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IE" sz="1400" b="0" i="1">
                              <a:latin typeface="Cambria Math"/>
                            </a:rPr>
                            <m:t>𝐹</m:t>
                          </m:r>
                        </m:e>
                        <m:sub>
                          <m:r>
                            <a:rPr lang="en-IE" sz="1400" b="0" i="1">
                              <a:latin typeface="Cambria Math"/>
                            </a:rPr>
                            <m:t>0</m:t>
                          </m:r>
                        </m:sub>
                      </m:sSub>
                    </m:num>
                    <m:den>
                      <m:d>
                        <m:dPr>
                          <m:ctrlPr>
                            <a:rPr lang="en-IE" sz="14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IE" sz="1400" i="1">
                              <a:latin typeface="Cambria Math"/>
                            </a:rPr>
                            <m:t>1+</m:t>
                          </m:r>
                          <m:sSub>
                            <m:sSubPr>
                              <m:ctrlPr>
                                <a:rPr lang="en-IE" sz="140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IE" sz="1400" i="1">
                                  <a:latin typeface="Cambria Math"/>
                                </a:rPr>
                                <m:t>𝑟</m:t>
                              </m:r>
                            </m:e>
                            <m:sub>
                              <m:r>
                                <a:rPr lang="en-IE" sz="1400" i="1">
                                  <a:latin typeface="Cambria Math"/>
                                </a:rPr>
                                <m:t>𝑐</m:t>
                              </m:r>
                            </m:sub>
                          </m:sSub>
                          <m:r>
                            <a:rPr lang="en-IE" sz="1400" i="1">
                              <a:latin typeface="Cambria Math"/>
                            </a:rPr>
                            <m:t>𝑡</m:t>
                          </m:r>
                        </m:e>
                      </m:d>
                    </m:den>
                  </m:f>
                </m:oMath>
              </a14:m>
              <a:endParaRPr lang="en-IE"/>
            </a:p>
            <a:p>
              <a:pPr rtl="0" eaLnBrk="1" latinLnBrk="0" hangingPunct="1"/>
              <a:r>
                <a:rPr lang="en-IE"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1. Demonstrate these functions in an Excel spreadsheet; calculate the six month forward EUR-GBP FX rate if the 6 month EUR interest rate is 1% and the 6 month GBP interest rate is 2%; assume a spot price of 0.8500.</a:t>
              </a:r>
              <a:endParaRPr lang="en-GB" sz="1400">
                <a:effectLst/>
              </a:endParaRPr>
            </a:p>
            <a:p>
              <a:pPr rtl="0" eaLnBrk="1" latinLnBrk="0" hangingPunct="1"/>
              <a:r>
                <a:rPr lang="en-IE"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2. Calculate the value of a long position of €10,000,000 at this rate within a range of spot prices from 0.7000 to 1.0000; assume that interest rates remain unchanged and that 6 months remain until delivery.</a:t>
              </a:r>
              <a:endParaRPr lang="en-GB" sz="1400">
                <a:effectLst/>
              </a:endParaRPr>
            </a:p>
            <a:p>
              <a:pPr marL="0" indent="0" algn="l">
                <a:buNone/>
              </a:pPr>
              <a:endParaRPr lang="en-IE" sz="1400"/>
            </a:p>
            <a:p>
              <a:pPr marL="0" indent="0" algn="ctr">
                <a:buNone/>
              </a:pPr>
              <a:endParaRPr lang="en-IE"/>
            </a:p>
            <a:p>
              <a:endParaRPr lang="en-IE"/>
            </a:p>
          </xdr:txBody>
        </xdr:sp>
      </mc:Choice>
      <mc:Fallback xmlns="">
        <xdr:sp macro="" textlink="">
          <xdr:nvSpPr>
            <xdr:cNvPr id="2" name="Content Placeholder 2">
              <a:extLst>
                <a:ext uri="{FF2B5EF4-FFF2-40B4-BE49-F238E27FC236}">
                  <a16:creationId xmlns:a16="http://schemas.microsoft.com/office/drawing/2014/main" id="{63A5D9D5-D1A5-42DF-979D-8BDAB295899F}"/>
                </a:ext>
              </a:extLst>
            </xdr:cNvPr>
            <xdr:cNvSpPr>
              <a:spLocks noGrp="1"/>
            </xdr:cNvSpPr>
          </xdr:nvSpPr>
          <xdr:spPr>
            <a:xfrm>
              <a:off x="8905874" y="66676"/>
              <a:ext cx="7848601" cy="6257924"/>
            </a:xfrm>
            <a:prstGeom prst="rect">
              <a:avLst/>
            </a:prstGeom>
          </xdr:spPr>
          <xdr:txBody>
            <a:bodyPr vert="horz" wrap="square" lIns="0" tIns="45720" rIns="0" bIns="45720" rtlCol="0">
              <a:normAutofit fontScale="85000" lnSpcReduction="20000"/>
            </a:bodyPr>
            <a:lstStyle>
              <a:lvl1pPr marL="91440" indent="-91440" algn="l" defTabSz="914400" rtl="0" eaLnBrk="1" latinLnBrk="0" hangingPunct="1">
                <a:lnSpc>
                  <a:spcPct val="110000"/>
                </a:lnSpc>
                <a:spcBef>
                  <a:spcPts val="1200"/>
                </a:spcBef>
                <a:spcAft>
                  <a:spcPts val="200"/>
                </a:spcAft>
                <a:buClr>
                  <a:schemeClr val="accent1"/>
                </a:buClr>
                <a:buSzPct val="100000"/>
                <a:buFont typeface="Calibri" panose="020F0502020204030204" pitchFamily="34" charset="0"/>
                <a:buChar char=" "/>
                <a:defRPr sz="19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1pPr>
              <a:lvl2pPr marL="384048" indent="-182880" algn="l" defTabSz="914400" rtl="0" eaLnBrk="1" latinLnBrk="0" hangingPunct="1">
                <a:lnSpc>
                  <a:spcPct val="100000"/>
                </a:lnSpc>
                <a:spcBef>
                  <a:spcPts val="200"/>
                </a:spcBef>
                <a:spcAft>
                  <a:spcPts val="400"/>
                </a:spcAft>
                <a:buClrTx/>
                <a:buFont typeface="Calibri" pitchFamily="34" charset="0"/>
                <a:buChar char="◦"/>
                <a:defRPr sz="17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2pPr>
              <a:lvl3pPr marL="566928" indent="-182880" algn="l" defTabSz="914400" rtl="0" eaLnBrk="1" latinLnBrk="0" hangingPunct="1">
                <a:lnSpc>
                  <a:spcPct val="100000"/>
                </a:lnSpc>
                <a:spcBef>
                  <a:spcPts val="200"/>
                </a:spcBef>
                <a:spcAft>
                  <a:spcPts val="400"/>
                </a:spcAft>
                <a:buClrTx/>
                <a:buFont typeface="Calibri" pitchFamily="34" charset="0"/>
                <a:buChar char="◦"/>
                <a:defRPr sz="13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3pPr>
              <a:lvl4pPr marL="749808" indent="-182880" algn="l" defTabSz="914400" rtl="0" eaLnBrk="1" latinLnBrk="0" hangingPunct="1">
                <a:lnSpc>
                  <a:spcPct val="100000"/>
                </a:lnSpc>
                <a:spcBef>
                  <a:spcPts val="200"/>
                </a:spcBef>
                <a:spcAft>
                  <a:spcPts val="400"/>
                </a:spcAft>
                <a:buClrTx/>
                <a:buFont typeface="Calibri" pitchFamily="34" charset="0"/>
                <a:buChar char="◦"/>
                <a:defRPr sz="13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4pPr>
              <a:lvl5pPr marL="932688" indent="-182880" algn="l" defTabSz="914400" rtl="0" eaLnBrk="1" latinLnBrk="0" hangingPunct="1">
                <a:lnSpc>
                  <a:spcPct val="100000"/>
                </a:lnSpc>
                <a:spcBef>
                  <a:spcPts val="200"/>
                </a:spcBef>
                <a:spcAft>
                  <a:spcPts val="400"/>
                </a:spcAft>
                <a:buClrTx/>
                <a:buFont typeface="Calibri" pitchFamily="34" charset="0"/>
                <a:buChar char="◦"/>
                <a:defRPr sz="13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5pPr>
              <a:lvl6pPr marL="1100000" indent="-228600" algn="l" defTabSz="914400" rtl="0" eaLnBrk="1" latinLnBrk="0" hangingPunct="1">
                <a:lnSpc>
                  <a:spcPct val="90000"/>
                </a:lnSpc>
                <a:spcBef>
                  <a:spcPts val="200"/>
                </a:spcBef>
                <a:spcAft>
                  <a:spcPts val="400"/>
                </a:spcAft>
                <a:buClr>
                  <a:schemeClr val="accent1"/>
                </a:buClr>
                <a:buFont typeface="Calibri" pitchFamily="34" charset="0"/>
                <a:buChar char="◦"/>
                <a:defRPr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6pPr>
              <a:lvl7pPr marL="1300000" indent="-228600" algn="l" defTabSz="914400" rtl="0" eaLnBrk="1" latinLnBrk="0" hangingPunct="1">
                <a:lnSpc>
                  <a:spcPct val="90000"/>
                </a:lnSpc>
                <a:spcBef>
                  <a:spcPts val="200"/>
                </a:spcBef>
                <a:spcAft>
                  <a:spcPts val="400"/>
                </a:spcAft>
                <a:buClr>
                  <a:schemeClr val="accent1"/>
                </a:buClr>
                <a:buFont typeface="Calibri" pitchFamily="34" charset="0"/>
                <a:buChar char="◦"/>
                <a:defRPr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7pPr>
              <a:lvl8pPr marL="1500000" indent="-228600" algn="l" defTabSz="914400" rtl="0" eaLnBrk="1" latinLnBrk="0" hangingPunct="1">
                <a:lnSpc>
                  <a:spcPct val="90000"/>
                </a:lnSpc>
                <a:spcBef>
                  <a:spcPts val="200"/>
                </a:spcBef>
                <a:spcAft>
                  <a:spcPts val="400"/>
                </a:spcAft>
                <a:buClr>
                  <a:schemeClr val="accent1"/>
                </a:buClr>
                <a:buFont typeface="Calibri" pitchFamily="34" charset="0"/>
                <a:buChar char="◦"/>
                <a:defRPr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8pPr>
              <a:lvl9pPr marL="1700000" indent="-228600" algn="l" defTabSz="914400" rtl="0" eaLnBrk="1" latinLnBrk="0" hangingPunct="1">
                <a:lnSpc>
                  <a:spcPct val="90000"/>
                </a:lnSpc>
                <a:spcBef>
                  <a:spcPts val="200"/>
                </a:spcBef>
                <a:spcAft>
                  <a:spcPts val="400"/>
                </a:spcAft>
                <a:buClr>
                  <a:schemeClr val="accent1"/>
                </a:buClr>
                <a:buFont typeface="Calibri" pitchFamily="34" charset="0"/>
                <a:buChar char="◦"/>
                <a:defRPr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IE" sz="1400" b="1"/>
                <a:t>Question 1</a:t>
              </a:r>
            </a:p>
            <a:p>
              <a:r>
                <a:rPr lang="en-IE" sz="1400"/>
                <a:t>Write a VBA function to find the FX forward price given a spot rate, time to maturity and base and counter currency interest rates.</a:t>
              </a:r>
            </a:p>
            <a:p>
              <a:endParaRPr lang="en-IE" sz="1400"/>
            </a:p>
            <a:p>
              <a:pPr marL="0" indent="0">
                <a:buNone/>
              </a:pPr>
              <a:r>
                <a:rPr lang="en-IE" sz="1400" b="0" i="0">
                  <a:latin typeface="Cambria Math"/>
                </a:rPr>
                <a:t>𝐹=𝑆</a:t>
              </a:r>
              <a:r>
                <a:rPr lang="en-IE" sz="1400" b="0" i="0">
                  <a:latin typeface="Cambria Math" panose="02040503050406030204" pitchFamily="18" charset="0"/>
                </a:rPr>
                <a:t> ((</a:t>
              </a:r>
              <a:r>
                <a:rPr lang="en-IE" sz="1400" b="0" i="0">
                  <a:latin typeface="Cambria Math"/>
                </a:rPr>
                <a:t>1+𝑟</a:t>
              </a:r>
              <a:r>
                <a:rPr lang="en-IE" sz="1400" b="0" i="0">
                  <a:latin typeface="Cambria Math" panose="02040503050406030204" pitchFamily="18" charset="0"/>
                </a:rPr>
                <a:t>_</a:t>
              </a:r>
              <a:r>
                <a:rPr lang="en-IE" sz="1400" b="0" i="0">
                  <a:latin typeface="Cambria Math"/>
                </a:rPr>
                <a:t>𝑐 𝑡</a:t>
              </a:r>
              <a:r>
                <a:rPr lang="en-IE" sz="1400" b="0" i="0">
                  <a:latin typeface="Cambria Math" panose="02040503050406030204" pitchFamily="18" charset="0"/>
                </a:rPr>
                <a:t>))/((</a:t>
              </a:r>
              <a:r>
                <a:rPr lang="en-IE" sz="1400" i="0">
                  <a:latin typeface="Cambria Math"/>
                </a:rPr>
                <a:t>1+𝑟</a:t>
              </a:r>
              <a:r>
                <a:rPr lang="en-IE" sz="1400" i="0">
                  <a:latin typeface="Cambria Math" panose="02040503050406030204" pitchFamily="18" charset="0"/>
                </a:rPr>
                <a:t>_</a:t>
              </a:r>
              <a:r>
                <a:rPr lang="en-IE" sz="1400" b="0" i="0">
                  <a:latin typeface="Cambria Math"/>
                </a:rPr>
                <a:t>𝑏 </a:t>
              </a:r>
              <a:r>
                <a:rPr lang="en-IE" sz="1400" i="0">
                  <a:latin typeface="Cambria Math"/>
                </a:rPr>
                <a:t>𝑡</a:t>
              </a:r>
              <a:r>
                <a:rPr lang="en-IE" sz="1400" i="0">
                  <a:latin typeface="Cambria Math" panose="02040503050406030204" pitchFamily="18" charset="0"/>
                </a:rPr>
                <a:t>) </a:t>
              </a:r>
              <a:r>
                <a:rPr lang="en-IE" sz="1400" b="0" i="0">
                  <a:latin typeface="Cambria Math" panose="02040503050406030204" pitchFamily="18" charset="0"/>
                </a:rPr>
                <a:t>)</a:t>
              </a:r>
              <a:endParaRPr lang="en-IE" sz="1400"/>
            </a:p>
            <a:p>
              <a:r>
                <a:rPr lang="en-IE" sz="1400"/>
                <a:t>Write a VBA function to determine the value of an FX forward position traded at </a:t>
              </a:r>
              <a:r>
                <a:rPr lang="en-IE" sz="1400" b="0" i="0">
                  <a:latin typeface="Cambria Math"/>
                </a:rPr>
                <a:t>𝐹</a:t>
              </a:r>
              <a:r>
                <a:rPr lang="en-IE" sz="1400" b="0" i="0">
                  <a:latin typeface="Cambria Math" panose="02040503050406030204" pitchFamily="18" charset="0"/>
                </a:rPr>
                <a:t>_</a:t>
              </a:r>
              <a:r>
                <a:rPr lang="en-IE" sz="1400" b="0" i="0">
                  <a:latin typeface="Cambria Math"/>
                </a:rPr>
                <a:t>0</a:t>
              </a:r>
              <a:endParaRPr lang="en-IE" sz="1400"/>
            </a:p>
            <a:p>
              <a:endParaRPr lang="en-IE" sz="1400"/>
            </a:p>
            <a:p>
              <a:pPr marL="0" indent="0" algn="ctr">
                <a:buNone/>
              </a:pPr>
              <a:r>
                <a:rPr lang="en-IE" sz="1400" b="0" i="0">
                  <a:latin typeface="Cambria Math"/>
                </a:rPr>
                <a:t>𝑉𝑎𝑙𝑢𝑒=𝑆</a:t>
              </a:r>
              <a:r>
                <a:rPr lang="en-IE" sz="1400" b="0" i="0">
                  <a:latin typeface="Cambria Math" panose="02040503050406030204" pitchFamily="18" charset="0"/>
                </a:rPr>
                <a:t>/((</a:t>
              </a:r>
              <a:r>
                <a:rPr lang="en-IE" sz="1400" i="0">
                  <a:latin typeface="Cambria Math"/>
                </a:rPr>
                <a:t>1+𝑟</a:t>
              </a:r>
              <a:r>
                <a:rPr lang="en-IE" sz="1400" i="0">
                  <a:latin typeface="Cambria Math" panose="02040503050406030204" pitchFamily="18" charset="0"/>
                </a:rPr>
                <a:t>_</a:t>
              </a:r>
              <a:r>
                <a:rPr lang="en-IE" sz="1400" i="0">
                  <a:latin typeface="Cambria Math"/>
                </a:rPr>
                <a:t>𝑏 𝑡</a:t>
              </a:r>
              <a:r>
                <a:rPr lang="en-IE" sz="1400" i="0">
                  <a:latin typeface="Cambria Math" panose="02040503050406030204" pitchFamily="18" charset="0"/>
                </a:rPr>
                <a:t>) )</a:t>
              </a:r>
              <a:r>
                <a:rPr lang="en-IE" sz="1400" b="0" i="0">
                  <a:latin typeface="Cambria Math"/>
                </a:rPr>
                <a:t>−</a:t>
              </a:r>
              <a:r>
                <a:rPr lang="en-IE" sz="1400"/>
                <a:t> </a:t>
              </a:r>
              <a:r>
                <a:rPr lang="en-IE" sz="1400" b="0" i="0">
                  <a:latin typeface="Cambria Math"/>
                </a:rPr>
                <a:t>𝐹</a:t>
              </a:r>
              <a:r>
                <a:rPr lang="en-IE" sz="1400" b="0" i="0">
                  <a:latin typeface="Cambria Math" panose="02040503050406030204" pitchFamily="18" charset="0"/>
                </a:rPr>
                <a:t>_</a:t>
              </a:r>
              <a:r>
                <a:rPr lang="en-IE" sz="1400" b="0" i="0">
                  <a:latin typeface="Cambria Math"/>
                </a:rPr>
                <a:t>0</a:t>
              </a:r>
              <a:r>
                <a:rPr lang="en-IE" sz="1400" b="0" i="0">
                  <a:latin typeface="Cambria Math" panose="02040503050406030204" pitchFamily="18" charset="0"/>
                </a:rPr>
                <a:t>/((</a:t>
              </a:r>
              <a:r>
                <a:rPr lang="en-IE" sz="1400" i="0">
                  <a:latin typeface="Cambria Math"/>
                </a:rPr>
                <a:t>1+𝑟</a:t>
              </a:r>
              <a:r>
                <a:rPr lang="en-IE" sz="1400" i="0">
                  <a:latin typeface="Cambria Math" panose="02040503050406030204" pitchFamily="18" charset="0"/>
                </a:rPr>
                <a:t>_</a:t>
              </a:r>
              <a:r>
                <a:rPr lang="en-IE" sz="1400" i="0">
                  <a:latin typeface="Cambria Math"/>
                </a:rPr>
                <a:t>𝑐 𝑡</a:t>
              </a:r>
              <a:r>
                <a:rPr lang="en-IE" sz="1400" i="0">
                  <a:latin typeface="Cambria Math" panose="02040503050406030204" pitchFamily="18" charset="0"/>
                </a:rPr>
                <a:t>) )</a:t>
              </a:r>
              <a:endParaRPr lang="en-IE"/>
            </a:p>
            <a:p>
              <a:pPr rtl="0" eaLnBrk="1" latinLnBrk="0" hangingPunct="1"/>
              <a:r>
                <a:rPr lang="en-IE"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1. Demonstrate these functions in an Excel spreadsheet; calculate the six month forward EUR-GBP FX rate if the 6 month EUR interest rate is 1% and the 6 month GBP interest rate is 2%; assume a spot price of 0.8500.</a:t>
              </a:r>
              <a:endParaRPr lang="en-GB" sz="1400">
                <a:effectLst/>
              </a:endParaRPr>
            </a:p>
            <a:p>
              <a:pPr rtl="0" eaLnBrk="1" latinLnBrk="0" hangingPunct="1"/>
              <a:r>
                <a:rPr lang="en-IE"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2. Calculate the value of a long position of €10,000,000 at this rate within a range of spot prices from 0.7000 to 1.0000; assume that interest rates remain unchanged and that 6 months remain until delivery.</a:t>
              </a:r>
              <a:endParaRPr lang="en-GB" sz="1400">
                <a:effectLst/>
              </a:endParaRPr>
            </a:p>
            <a:p>
              <a:pPr marL="0" indent="0" algn="l">
                <a:buNone/>
              </a:pPr>
              <a:endParaRPr lang="en-IE" sz="1400"/>
            </a:p>
            <a:p>
              <a:pPr marL="0" indent="0" algn="ctr">
                <a:buNone/>
              </a:pPr>
              <a:endParaRPr lang="en-IE"/>
            </a:p>
            <a:p>
              <a:endParaRPr lang="en-IE"/>
            </a:p>
          </xdr:txBody>
        </xdr:sp>
      </mc:Fallback>
    </mc:AlternateContent>
    <xdr:clientData/>
  </xdr:twoCellAnchor>
  <xdr:twoCellAnchor>
    <xdr:from>
      <xdr:col>10</xdr:col>
      <xdr:colOff>533400</xdr:colOff>
      <xdr:row>21</xdr:row>
      <xdr:rowOff>147637</xdr:rowOff>
    </xdr:from>
    <xdr:to>
      <xdr:col>18</xdr:col>
      <xdr:colOff>228600</xdr:colOff>
      <xdr:row>36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DA14D0-2611-4A61-B4C0-742687B583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171450</xdr:rowOff>
    </xdr:from>
    <xdr:to>
      <xdr:col>23</xdr:col>
      <xdr:colOff>123825</xdr:colOff>
      <xdr:row>10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91AF644-2C6A-41D2-B868-F1183FD84ADB}"/>
            </a:ext>
          </a:extLst>
        </xdr:cNvPr>
        <xdr:cNvSpPr txBox="1"/>
      </xdr:nvSpPr>
      <xdr:spPr>
        <a:xfrm>
          <a:off x="7743825" y="171450"/>
          <a:ext cx="6829425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The Theta of an option refers to change</a:t>
          </a:r>
          <a:r>
            <a:rPr lang="en-GB" sz="1100" baseline="0"/>
            <a:t> in value of an option due to the passage of time.</a:t>
          </a:r>
        </a:p>
        <a:p>
          <a:endParaRPr lang="en-GB" sz="1100" baseline="0"/>
        </a:p>
        <a:p>
          <a:r>
            <a:rPr lang="en-GB" sz="1100" baseline="0"/>
            <a:t>It is usually expressed as the change in the value of the option per day.</a:t>
          </a:r>
          <a:endParaRPr lang="en-GB" sz="1100"/>
        </a:p>
      </xdr:txBody>
    </xdr:sp>
    <xdr:clientData/>
  </xdr:twoCellAnchor>
  <xdr:twoCellAnchor>
    <xdr:from>
      <xdr:col>1</xdr:col>
      <xdr:colOff>131445</xdr:colOff>
      <xdr:row>27</xdr:row>
      <xdr:rowOff>33337</xdr:rowOff>
    </xdr:from>
    <xdr:to>
      <xdr:col>8</xdr:col>
      <xdr:colOff>496454</xdr:colOff>
      <xdr:row>41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DA1DE7-E595-4654-A907-4325F61F49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109683</xdr:colOff>
      <xdr:row>41</xdr:row>
      <xdr:rowOff>135081</xdr:rowOff>
    </xdr:from>
    <xdr:to>
      <xdr:col>8</xdr:col>
      <xdr:colOff>450272</xdr:colOff>
      <xdr:row>58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89DD523-C391-45F3-94FB-E38D9BB34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86591</xdr:colOff>
      <xdr:row>58</xdr:row>
      <xdr:rowOff>123536</xdr:rowOff>
    </xdr:from>
    <xdr:to>
      <xdr:col>8</xdr:col>
      <xdr:colOff>450272</xdr:colOff>
      <xdr:row>77</xdr:row>
      <xdr:rowOff>173182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61F0C8F-BE33-4D68-AC3A-EB80A4FC93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40407</xdr:colOff>
      <xdr:row>78</xdr:row>
      <xdr:rowOff>146628</xdr:rowOff>
    </xdr:from>
    <xdr:to>
      <xdr:col>8</xdr:col>
      <xdr:colOff>311725</xdr:colOff>
      <xdr:row>95</xdr:row>
      <xdr:rowOff>80818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84DB765-91BE-43C6-941E-5F27470B3F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317499</xdr:colOff>
      <xdr:row>69</xdr:row>
      <xdr:rowOff>19626</xdr:rowOff>
    </xdr:from>
    <xdr:to>
      <xdr:col>17</xdr:col>
      <xdr:colOff>542635</xdr:colOff>
      <xdr:row>87</xdr:row>
      <xdr:rowOff>103908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49EC2B6-4178-4EF6-9FE3-B8BC443B0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640772</xdr:colOff>
      <xdr:row>68</xdr:row>
      <xdr:rowOff>181263</xdr:rowOff>
    </xdr:from>
    <xdr:to>
      <xdr:col>26</xdr:col>
      <xdr:colOff>-1</xdr:colOff>
      <xdr:row>87</xdr:row>
      <xdr:rowOff>92363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445A6CE-4067-4A9B-B75A-D8EF30CD87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9267D-D9C8-40C6-BDAD-43EC5C383EDD}">
  <sheetPr codeName="Sheet1"/>
  <dimension ref="A2:W1002"/>
  <sheetViews>
    <sheetView showGridLines="0" workbookViewId="0">
      <selection activeCell="M11" sqref="M11"/>
    </sheetView>
  </sheetViews>
  <sheetFormatPr defaultRowHeight="14.4" x14ac:dyDescent="0.3"/>
  <cols>
    <col min="8" max="8" width="30.109375" bestFit="1" customWidth="1"/>
    <col min="12" max="12" width="11.5546875" bestFit="1" customWidth="1"/>
  </cols>
  <sheetData>
    <row r="2" spans="1:23" x14ac:dyDescent="0.3">
      <c r="A2" s="6" t="s">
        <v>2</v>
      </c>
      <c r="B2" s="6" t="s">
        <v>0</v>
      </c>
      <c r="C2" s="6" t="s">
        <v>1</v>
      </c>
      <c r="D2" s="6" t="s">
        <v>3</v>
      </c>
      <c r="E2" s="6" t="s">
        <v>4</v>
      </c>
    </row>
    <row r="3" spans="1:23" x14ac:dyDescent="0.3">
      <c r="A3" s="4">
        <v>1</v>
      </c>
      <c r="B3" s="3">
        <f ca="1">RANDBETWEEN(1,6)</f>
        <v>2</v>
      </c>
      <c r="C3" s="3">
        <f ca="1">RANDBETWEEN(1,6)</f>
        <v>6</v>
      </c>
      <c r="D3" s="2">
        <f ca="1">C3+B3</f>
        <v>8</v>
      </c>
      <c r="E3" s="2">
        <f ca="1">IF(D3&gt;=8,1,0)</f>
        <v>1</v>
      </c>
      <c r="H3" t="s">
        <v>5</v>
      </c>
      <c r="I3">
        <f ca="1">COUNT(E3:E1002)</f>
        <v>1000</v>
      </c>
      <c r="M3" cm="1">
        <f t="array" aca="1" ref="M3" ca="1">diceRoll(I3)</f>
        <v>0.42099999999999999</v>
      </c>
    </row>
    <row r="4" spans="1:23" x14ac:dyDescent="0.3">
      <c r="A4" s="3">
        <f>A3+1</f>
        <v>2</v>
      </c>
      <c r="B4" s="3">
        <f ca="1">RANDBETWEEN(1,6)</f>
        <v>1</v>
      </c>
      <c r="C4" s="3">
        <f ca="1">RANDBETWEEN(1,6)</f>
        <v>3</v>
      </c>
      <c r="D4" s="2">
        <f t="shared" ref="D4:D67" ca="1" si="0">C4+B4</f>
        <v>4</v>
      </c>
      <c r="E4" s="2">
        <f t="shared" ref="E4:E67" ca="1" si="1">IF(D4&gt;=8,1,0)</f>
        <v>0</v>
      </c>
      <c r="H4" t="s">
        <v>6</v>
      </c>
      <c r="I4">
        <f ca="1">SUM(E3:E1002)</f>
        <v>409</v>
      </c>
    </row>
    <row r="5" spans="1:23" x14ac:dyDescent="0.3">
      <c r="A5" s="3">
        <f t="shared" ref="A5:A68" si="2">A4+1</f>
        <v>3</v>
      </c>
      <c r="B5" s="3">
        <f t="shared" ref="B5:C68" ca="1" si="3">RANDBETWEEN(1,6)</f>
        <v>3</v>
      </c>
      <c r="C5" s="3">
        <f t="shared" ca="1" si="3"/>
        <v>2</v>
      </c>
      <c r="D5" s="2">
        <f t="shared" ca="1" si="0"/>
        <v>5</v>
      </c>
      <c r="E5" s="2">
        <f t="shared" ca="1" si="1"/>
        <v>0</v>
      </c>
    </row>
    <row r="6" spans="1:23" x14ac:dyDescent="0.3">
      <c r="A6" s="3">
        <f t="shared" si="2"/>
        <v>4</v>
      </c>
      <c r="B6" s="3">
        <f t="shared" ca="1" si="3"/>
        <v>3</v>
      </c>
      <c r="C6" s="3">
        <f t="shared" ca="1" si="3"/>
        <v>4</v>
      </c>
      <c r="D6" s="2">
        <f t="shared" ca="1" si="0"/>
        <v>7</v>
      </c>
      <c r="E6" s="2">
        <f t="shared" ca="1" si="1"/>
        <v>0</v>
      </c>
      <c r="H6" t="s">
        <v>7</v>
      </c>
      <c r="I6" s="7">
        <f ca="1">I4/I3</f>
        <v>0.40899999999999997</v>
      </c>
    </row>
    <row r="7" spans="1:23" x14ac:dyDescent="0.3">
      <c r="A7" s="3">
        <f t="shared" si="2"/>
        <v>5</v>
      </c>
      <c r="B7" s="3">
        <f t="shared" ca="1" si="3"/>
        <v>1</v>
      </c>
      <c r="C7" s="3">
        <f t="shared" ca="1" si="3"/>
        <v>4</v>
      </c>
      <c r="D7" s="2">
        <f t="shared" ca="1" si="0"/>
        <v>5</v>
      </c>
      <c r="E7" s="2">
        <f t="shared" ca="1" si="1"/>
        <v>0</v>
      </c>
    </row>
    <row r="8" spans="1:23" x14ac:dyDescent="0.3">
      <c r="A8" s="3">
        <f t="shared" si="2"/>
        <v>6</v>
      </c>
      <c r="B8" s="3">
        <f t="shared" ca="1" si="3"/>
        <v>1</v>
      </c>
      <c r="C8" s="3">
        <f t="shared" ca="1" si="3"/>
        <v>1</v>
      </c>
      <c r="D8" s="2">
        <f t="shared" ca="1" si="0"/>
        <v>2</v>
      </c>
      <c r="E8" s="2">
        <f t="shared" ca="1" si="1"/>
        <v>0</v>
      </c>
    </row>
    <row r="9" spans="1:23" x14ac:dyDescent="0.3">
      <c r="A9" s="3">
        <f t="shared" si="2"/>
        <v>7</v>
      </c>
      <c r="B9" s="3">
        <f t="shared" ca="1" si="3"/>
        <v>1</v>
      </c>
      <c r="C9" s="3">
        <f t="shared" ca="1" si="3"/>
        <v>4</v>
      </c>
      <c r="D9" s="2">
        <f t="shared" ca="1" si="0"/>
        <v>5</v>
      </c>
      <c r="E9" s="2">
        <f t="shared" ca="1" si="1"/>
        <v>0</v>
      </c>
      <c r="L9" t="s">
        <v>8</v>
      </c>
      <c r="M9" t="s">
        <v>9</v>
      </c>
    </row>
    <row r="10" spans="1:23" x14ac:dyDescent="0.3">
      <c r="A10" s="3">
        <f t="shared" si="2"/>
        <v>8</v>
      </c>
      <c r="B10" s="3">
        <f t="shared" ca="1" si="3"/>
        <v>3</v>
      </c>
      <c r="C10" s="3">
        <f t="shared" ca="1" si="3"/>
        <v>4</v>
      </c>
      <c r="D10" s="2">
        <f t="shared" ca="1" si="0"/>
        <v>7</v>
      </c>
      <c r="E10" s="2">
        <f t="shared" ca="1" si="1"/>
        <v>0</v>
      </c>
      <c r="L10" s="8">
        <v>10</v>
      </c>
      <c r="M10" s="9" cm="1">
        <f t="array" aca="1" ref="M10" ca="1">diceRoll(L10)</f>
        <v>0.3</v>
      </c>
      <c r="R10" s="57" t="s">
        <v>10</v>
      </c>
      <c r="S10" s="57"/>
      <c r="T10" s="57"/>
      <c r="U10" s="57"/>
      <c r="V10" s="57"/>
      <c r="W10" s="57"/>
    </row>
    <row r="11" spans="1:23" ht="15" thickBot="1" x14ac:dyDescent="0.35">
      <c r="A11" s="3">
        <f t="shared" si="2"/>
        <v>9</v>
      </c>
      <c r="B11" s="3">
        <f t="shared" ca="1" si="3"/>
        <v>5</v>
      </c>
      <c r="C11" s="3">
        <f t="shared" ca="1" si="3"/>
        <v>2</v>
      </c>
      <c r="D11" s="2">
        <f t="shared" ca="1" si="0"/>
        <v>7</v>
      </c>
      <c r="E11" s="2">
        <f t="shared" ca="1" si="1"/>
        <v>0</v>
      </c>
      <c r="L11" s="8">
        <v>100</v>
      </c>
      <c r="M11" s="9" cm="1">
        <f t="array" aca="1" ref="M11" ca="1">diceRoll(L11)</f>
        <v>0.37</v>
      </c>
      <c r="R11" s="11">
        <v>1</v>
      </c>
      <c r="S11" s="11">
        <v>2</v>
      </c>
      <c r="T11" s="11">
        <v>3</v>
      </c>
      <c r="U11" s="11">
        <v>4</v>
      </c>
      <c r="V11" s="11">
        <v>5</v>
      </c>
      <c r="W11" s="11">
        <v>6</v>
      </c>
    </row>
    <row r="12" spans="1:23" x14ac:dyDescent="0.3">
      <c r="A12" s="3">
        <f t="shared" si="2"/>
        <v>10</v>
      </c>
      <c r="B12" s="3">
        <f t="shared" ca="1" si="3"/>
        <v>2</v>
      </c>
      <c r="C12" s="3">
        <f t="shared" ca="1" si="3"/>
        <v>2</v>
      </c>
      <c r="D12" s="2">
        <f t="shared" ca="1" si="0"/>
        <v>4</v>
      </c>
      <c r="E12" s="2">
        <f t="shared" ca="1" si="1"/>
        <v>0</v>
      </c>
      <c r="L12" s="8">
        <f>L11*10</f>
        <v>1000</v>
      </c>
      <c r="M12" s="9" cm="1">
        <f t="array" aca="1" ref="M12" ca="1">diceRoll(L12)</f>
        <v>0.38800000000000001</v>
      </c>
      <c r="P12" s="56" t="s">
        <v>11</v>
      </c>
      <c r="Q12" s="10">
        <v>1</v>
      </c>
      <c r="R12" s="12">
        <f>R$11+$Q12</f>
        <v>2</v>
      </c>
      <c r="S12" s="13">
        <f t="shared" ref="S12:W12" si="4">S$11+$Q12</f>
        <v>3</v>
      </c>
      <c r="T12" s="13">
        <f t="shared" si="4"/>
        <v>4</v>
      </c>
      <c r="U12" s="13">
        <f t="shared" si="4"/>
        <v>5</v>
      </c>
      <c r="V12" s="13">
        <f t="shared" si="4"/>
        <v>6</v>
      </c>
      <c r="W12" s="14">
        <f t="shared" si="4"/>
        <v>7</v>
      </c>
    </row>
    <row r="13" spans="1:23" x14ac:dyDescent="0.3">
      <c r="A13" s="3">
        <f t="shared" si="2"/>
        <v>11</v>
      </c>
      <c r="B13" s="3">
        <f t="shared" ca="1" si="3"/>
        <v>3</v>
      </c>
      <c r="C13" s="3">
        <f t="shared" ca="1" si="3"/>
        <v>2</v>
      </c>
      <c r="D13" s="2">
        <f t="shared" ca="1" si="0"/>
        <v>5</v>
      </c>
      <c r="E13" s="2">
        <f t="shared" ca="1" si="1"/>
        <v>0</v>
      </c>
      <c r="L13" s="8"/>
      <c r="M13" s="9"/>
      <c r="P13" s="56"/>
      <c r="Q13" s="10">
        <v>2</v>
      </c>
      <c r="R13" s="15">
        <f t="shared" ref="R13:W17" si="5">R$11+$Q13</f>
        <v>3</v>
      </c>
      <c r="S13" s="3">
        <f t="shared" si="5"/>
        <v>4</v>
      </c>
      <c r="T13" s="3">
        <f t="shared" si="5"/>
        <v>5</v>
      </c>
      <c r="U13" s="3">
        <f t="shared" si="5"/>
        <v>6</v>
      </c>
      <c r="V13" s="3">
        <f t="shared" si="5"/>
        <v>7</v>
      </c>
      <c r="W13" s="16">
        <f t="shared" si="5"/>
        <v>8</v>
      </c>
    </row>
    <row r="14" spans="1:23" x14ac:dyDescent="0.3">
      <c r="A14" s="3">
        <f t="shared" si="2"/>
        <v>12</v>
      </c>
      <c r="B14" s="3">
        <f t="shared" ca="1" si="3"/>
        <v>2</v>
      </c>
      <c r="C14" s="3">
        <f t="shared" ca="1" si="3"/>
        <v>2</v>
      </c>
      <c r="D14" s="2">
        <f t="shared" ca="1" si="0"/>
        <v>4</v>
      </c>
      <c r="E14" s="2">
        <f t="shared" ca="1" si="1"/>
        <v>0</v>
      </c>
      <c r="L14" s="8"/>
      <c r="M14" s="9"/>
      <c r="P14" s="56"/>
      <c r="Q14" s="10">
        <v>3</v>
      </c>
      <c r="R14" s="15">
        <f t="shared" si="5"/>
        <v>4</v>
      </c>
      <c r="S14" s="3">
        <f t="shared" si="5"/>
        <v>5</v>
      </c>
      <c r="T14" s="3">
        <f t="shared" si="5"/>
        <v>6</v>
      </c>
      <c r="U14" s="3">
        <f t="shared" si="5"/>
        <v>7</v>
      </c>
      <c r="V14" s="3">
        <f t="shared" si="5"/>
        <v>8</v>
      </c>
      <c r="W14" s="16">
        <f t="shared" si="5"/>
        <v>9</v>
      </c>
    </row>
    <row r="15" spans="1:23" x14ac:dyDescent="0.3">
      <c r="A15" s="3">
        <f t="shared" si="2"/>
        <v>13</v>
      </c>
      <c r="B15" s="3">
        <f t="shared" ca="1" si="3"/>
        <v>3</v>
      </c>
      <c r="C15" s="3">
        <f t="shared" ca="1" si="3"/>
        <v>4</v>
      </c>
      <c r="D15" s="2">
        <f t="shared" ca="1" si="0"/>
        <v>7</v>
      </c>
      <c r="E15" s="2">
        <f t="shared" ca="1" si="1"/>
        <v>0</v>
      </c>
      <c r="P15" s="56"/>
      <c r="Q15" s="10">
        <v>4</v>
      </c>
      <c r="R15" s="15">
        <f t="shared" si="5"/>
        <v>5</v>
      </c>
      <c r="S15" s="3">
        <f t="shared" si="5"/>
        <v>6</v>
      </c>
      <c r="T15" s="3">
        <f t="shared" si="5"/>
        <v>7</v>
      </c>
      <c r="U15" s="3">
        <f t="shared" si="5"/>
        <v>8</v>
      </c>
      <c r="V15" s="3">
        <f t="shared" si="5"/>
        <v>9</v>
      </c>
      <c r="W15" s="16">
        <f t="shared" si="5"/>
        <v>10</v>
      </c>
    </row>
    <row r="16" spans="1:23" x14ac:dyDescent="0.3">
      <c r="A16" s="3">
        <f t="shared" si="2"/>
        <v>14</v>
      </c>
      <c r="B16" s="3">
        <f t="shared" ca="1" si="3"/>
        <v>3</v>
      </c>
      <c r="C16" s="3">
        <f t="shared" ca="1" si="3"/>
        <v>1</v>
      </c>
      <c r="D16" s="2">
        <f t="shared" ca="1" si="0"/>
        <v>4</v>
      </c>
      <c r="E16" s="2">
        <f t="shared" ca="1" si="1"/>
        <v>0</v>
      </c>
      <c r="P16" s="56"/>
      <c r="Q16" s="10">
        <v>5</v>
      </c>
      <c r="R16" s="15">
        <f t="shared" si="5"/>
        <v>6</v>
      </c>
      <c r="S16" s="3">
        <f t="shared" si="5"/>
        <v>7</v>
      </c>
      <c r="T16" s="3">
        <f t="shared" si="5"/>
        <v>8</v>
      </c>
      <c r="U16" s="3">
        <f t="shared" si="5"/>
        <v>9</v>
      </c>
      <c r="V16" s="3">
        <f t="shared" si="5"/>
        <v>10</v>
      </c>
      <c r="W16" s="16">
        <f t="shared" si="5"/>
        <v>11</v>
      </c>
    </row>
    <row r="17" spans="1:23" ht="15" thickBot="1" x14ac:dyDescent="0.35">
      <c r="A17" s="3">
        <f t="shared" si="2"/>
        <v>15</v>
      </c>
      <c r="B17" s="3">
        <f t="shared" ca="1" si="3"/>
        <v>6</v>
      </c>
      <c r="C17" s="3">
        <f t="shared" ca="1" si="3"/>
        <v>1</v>
      </c>
      <c r="D17" s="2">
        <f t="shared" ca="1" si="0"/>
        <v>7</v>
      </c>
      <c r="E17" s="2">
        <f t="shared" ca="1" si="1"/>
        <v>0</v>
      </c>
      <c r="P17" s="56"/>
      <c r="Q17" s="10">
        <v>6</v>
      </c>
      <c r="R17" s="17">
        <f t="shared" si="5"/>
        <v>7</v>
      </c>
      <c r="S17" s="18">
        <f t="shared" si="5"/>
        <v>8</v>
      </c>
      <c r="T17" s="18">
        <f t="shared" si="5"/>
        <v>9</v>
      </c>
      <c r="U17" s="18">
        <f t="shared" si="5"/>
        <v>10</v>
      </c>
      <c r="V17" s="18">
        <f t="shared" si="5"/>
        <v>11</v>
      </c>
      <c r="W17" s="19">
        <f t="shared" si="5"/>
        <v>12</v>
      </c>
    </row>
    <row r="18" spans="1:23" x14ac:dyDescent="0.3">
      <c r="A18" s="3">
        <f t="shared" si="2"/>
        <v>16</v>
      </c>
      <c r="B18" s="3">
        <f t="shared" ca="1" si="3"/>
        <v>6</v>
      </c>
      <c r="C18" s="3">
        <f t="shared" ca="1" si="3"/>
        <v>2</v>
      </c>
      <c r="D18" s="2">
        <f t="shared" ca="1" si="0"/>
        <v>8</v>
      </c>
      <c r="E18" s="2">
        <f t="shared" ca="1" si="1"/>
        <v>1</v>
      </c>
    </row>
    <row r="19" spans="1:23" x14ac:dyDescent="0.3">
      <c r="A19" s="3">
        <f t="shared" si="2"/>
        <v>17</v>
      </c>
      <c r="B19" s="3">
        <f t="shared" ca="1" si="3"/>
        <v>6</v>
      </c>
      <c r="C19" s="3">
        <f t="shared" ca="1" si="3"/>
        <v>2</v>
      </c>
      <c r="D19" s="2">
        <f t="shared" ca="1" si="0"/>
        <v>8</v>
      </c>
      <c r="E19" s="2">
        <f t="shared" ca="1" si="1"/>
        <v>1</v>
      </c>
    </row>
    <row r="20" spans="1:23" x14ac:dyDescent="0.3">
      <c r="A20" s="3">
        <f t="shared" si="2"/>
        <v>18</v>
      </c>
      <c r="B20" s="3">
        <f t="shared" ca="1" si="3"/>
        <v>2</v>
      </c>
      <c r="C20" s="3">
        <f t="shared" ca="1" si="3"/>
        <v>4</v>
      </c>
      <c r="D20" s="2">
        <f t="shared" ca="1" si="0"/>
        <v>6</v>
      </c>
      <c r="E20" s="2">
        <f t="shared" ca="1" si="1"/>
        <v>0</v>
      </c>
    </row>
    <row r="21" spans="1:23" x14ac:dyDescent="0.3">
      <c r="A21" s="3">
        <f t="shared" si="2"/>
        <v>19</v>
      </c>
      <c r="B21" s="3">
        <f t="shared" ca="1" si="3"/>
        <v>5</v>
      </c>
      <c r="C21" s="3">
        <f t="shared" ca="1" si="3"/>
        <v>4</v>
      </c>
      <c r="D21" s="2">
        <f t="shared" ca="1" si="0"/>
        <v>9</v>
      </c>
      <c r="E21" s="2">
        <f t="shared" ca="1" si="1"/>
        <v>1</v>
      </c>
      <c r="R21" t="s">
        <v>12</v>
      </c>
      <c r="T21">
        <f>15</f>
        <v>15</v>
      </c>
    </row>
    <row r="22" spans="1:23" x14ac:dyDescent="0.3">
      <c r="A22" s="3">
        <f t="shared" si="2"/>
        <v>20</v>
      </c>
      <c r="B22" s="3">
        <f t="shared" ca="1" si="3"/>
        <v>1</v>
      </c>
      <c r="C22" s="3">
        <f t="shared" ca="1" si="3"/>
        <v>6</v>
      </c>
      <c r="D22" s="2">
        <f t="shared" ca="1" si="0"/>
        <v>7</v>
      </c>
      <c r="E22" s="2">
        <f t="shared" ca="1" si="1"/>
        <v>0</v>
      </c>
      <c r="R22" t="s">
        <v>13</v>
      </c>
      <c r="T22">
        <v>36</v>
      </c>
    </row>
    <row r="23" spans="1:23" x14ac:dyDescent="0.3">
      <c r="A23" s="3">
        <f t="shared" si="2"/>
        <v>21</v>
      </c>
      <c r="B23" s="3">
        <f t="shared" ca="1" si="3"/>
        <v>3</v>
      </c>
      <c r="C23" s="3">
        <f t="shared" ca="1" si="3"/>
        <v>3</v>
      </c>
      <c r="D23" s="2">
        <f t="shared" ca="1" si="0"/>
        <v>6</v>
      </c>
      <c r="E23" s="2">
        <f t="shared" ca="1" si="1"/>
        <v>0</v>
      </c>
    </row>
    <row r="24" spans="1:23" x14ac:dyDescent="0.3">
      <c r="A24" s="3">
        <f t="shared" si="2"/>
        <v>22</v>
      </c>
      <c r="B24" s="3">
        <f t="shared" ca="1" si="3"/>
        <v>3</v>
      </c>
      <c r="C24" s="3">
        <f t="shared" ca="1" si="3"/>
        <v>6</v>
      </c>
      <c r="D24" s="2">
        <f t="shared" ca="1" si="0"/>
        <v>9</v>
      </c>
      <c r="E24" s="2">
        <f t="shared" ca="1" si="1"/>
        <v>1</v>
      </c>
      <c r="R24" s="20" t="s">
        <v>14</v>
      </c>
      <c r="T24">
        <f>T21/T22</f>
        <v>0.41666666666666669</v>
      </c>
    </row>
    <row r="25" spans="1:23" x14ac:dyDescent="0.3">
      <c r="A25" s="3">
        <f t="shared" si="2"/>
        <v>23</v>
      </c>
      <c r="B25" s="3">
        <f t="shared" ca="1" si="3"/>
        <v>4</v>
      </c>
      <c r="C25" s="3">
        <f t="shared" ca="1" si="3"/>
        <v>2</v>
      </c>
      <c r="D25" s="2">
        <f t="shared" ca="1" si="0"/>
        <v>6</v>
      </c>
      <c r="E25" s="2">
        <f t="shared" ca="1" si="1"/>
        <v>0</v>
      </c>
    </row>
    <row r="26" spans="1:23" x14ac:dyDescent="0.3">
      <c r="A26" s="3">
        <f t="shared" si="2"/>
        <v>24</v>
      </c>
      <c r="B26" s="3">
        <f t="shared" ca="1" si="3"/>
        <v>6</v>
      </c>
      <c r="C26" s="3">
        <f t="shared" ca="1" si="3"/>
        <v>4</v>
      </c>
      <c r="D26" s="2">
        <f t="shared" ca="1" si="0"/>
        <v>10</v>
      </c>
      <c r="E26" s="2">
        <f t="shared" ca="1" si="1"/>
        <v>1</v>
      </c>
    </row>
    <row r="27" spans="1:23" x14ac:dyDescent="0.3">
      <c r="A27" s="3">
        <f t="shared" si="2"/>
        <v>25</v>
      </c>
      <c r="B27" s="3">
        <f t="shared" ca="1" si="3"/>
        <v>6</v>
      </c>
      <c r="C27" s="3">
        <f t="shared" ca="1" si="3"/>
        <v>1</v>
      </c>
      <c r="D27" s="2">
        <f t="shared" ca="1" si="0"/>
        <v>7</v>
      </c>
      <c r="E27" s="2">
        <f t="shared" ca="1" si="1"/>
        <v>0</v>
      </c>
    </row>
    <row r="28" spans="1:23" x14ac:dyDescent="0.3">
      <c r="A28" s="3">
        <f t="shared" si="2"/>
        <v>26</v>
      </c>
      <c r="B28" s="3">
        <f t="shared" ca="1" si="3"/>
        <v>1</v>
      </c>
      <c r="C28" s="3">
        <f t="shared" ca="1" si="3"/>
        <v>3</v>
      </c>
      <c r="D28" s="2">
        <f t="shared" ca="1" si="0"/>
        <v>4</v>
      </c>
      <c r="E28" s="2">
        <f t="shared" ca="1" si="1"/>
        <v>0</v>
      </c>
    </row>
    <row r="29" spans="1:23" x14ac:dyDescent="0.3">
      <c r="A29" s="3">
        <f t="shared" si="2"/>
        <v>27</v>
      </c>
      <c r="B29" s="3">
        <f t="shared" ca="1" si="3"/>
        <v>2</v>
      </c>
      <c r="C29" s="3">
        <f t="shared" ca="1" si="3"/>
        <v>6</v>
      </c>
      <c r="D29" s="2">
        <f t="shared" ca="1" si="0"/>
        <v>8</v>
      </c>
      <c r="E29" s="2">
        <f t="shared" ca="1" si="1"/>
        <v>1</v>
      </c>
    </row>
    <row r="30" spans="1:23" x14ac:dyDescent="0.3">
      <c r="A30" s="3">
        <f t="shared" si="2"/>
        <v>28</v>
      </c>
      <c r="B30" s="3">
        <f t="shared" ca="1" si="3"/>
        <v>5</v>
      </c>
      <c r="C30" s="3">
        <f t="shared" ca="1" si="3"/>
        <v>2</v>
      </c>
      <c r="D30" s="2">
        <f t="shared" ca="1" si="0"/>
        <v>7</v>
      </c>
      <c r="E30" s="2">
        <f t="shared" ca="1" si="1"/>
        <v>0</v>
      </c>
    </row>
    <row r="31" spans="1:23" x14ac:dyDescent="0.3">
      <c r="A31" s="3">
        <f t="shared" si="2"/>
        <v>29</v>
      </c>
      <c r="B31" s="3">
        <f t="shared" ca="1" si="3"/>
        <v>5</v>
      </c>
      <c r="C31" s="3">
        <f t="shared" ca="1" si="3"/>
        <v>5</v>
      </c>
      <c r="D31" s="2">
        <f t="shared" ca="1" si="0"/>
        <v>10</v>
      </c>
      <c r="E31" s="2">
        <f t="shared" ca="1" si="1"/>
        <v>1</v>
      </c>
    </row>
    <row r="32" spans="1:23" x14ac:dyDescent="0.3">
      <c r="A32" s="3">
        <f t="shared" si="2"/>
        <v>30</v>
      </c>
      <c r="B32" s="3">
        <f t="shared" ca="1" si="3"/>
        <v>2</v>
      </c>
      <c r="C32" s="3">
        <f t="shared" ca="1" si="3"/>
        <v>1</v>
      </c>
      <c r="D32" s="2">
        <f t="shared" ca="1" si="0"/>
        <v>3</v>
      </c>
      <c r="E32" s="2">
        <f t="shared" ca="1" si="1"/>
        <v>0</v>
      </c>
    </row>
    <row r="33" spans="1:5" x14ac:dyDescent="0.3">
      <c r="A33" s="3">
        <f t="shared" si="2"/>
        <v>31</v>
      </c>
      <c r="B33" s="3">
        <f t="shared" ca="1" si="3"/>
        <v>2</v>
      </c>
      <c r="C33" s="3">
        <f t="shared" ca="1" si="3"/>
        <v>1</v>
      </c>
      <c r="D33" s="2">
        <f t="shared" ca="1" si="0"/>
        <v>3</v>
      </c>
      <c r="E33" s="2">
        <f t="shared" ca="1" si="1"/>
        <v>0</v>
      </c>
    </row>
    <row r="34" spans="1:5" x14ac:dyDescent="0.3">
      <c r="A34" s="3">
        <f t="shared" si="2"/>
        <v>32</v>
      </c>
      <c r="B34" s="3">
        <f t="shared" ca="1" si="3"/>
        <v>3</v>
      </c>
      <c r="C34" s="3">
        <f t="shared" ca="1" si="3"/>
        <v>1</v>
      </c>
      <c r="D34" s="2">
        <f t="shared" ca="1" si="0"/>
        <v>4</v>
      </c>
      <c r="E34" s="2">
        <f t="shared" ca="1" si="1"/>
        <v>0</v>
      </c>
    </row>
    <row r="35" spans="1:5" x14ac:dyDescent="0.3">
      <c r="A35" s="3">
        <f t="shared" si="2"/>
        <v>33</v>
      </c>
      <c r="B35" s="3">
        <f t="shared" ca="1" si="3"/>
        <v>6</v>
      </c>
      <c r="C35" s="3">
        <f t="shared" ca="1" si="3"/>
        <v>4</v>
      </c>
      <c r="D35" s="2">
        <f t="shared" ca="1" si="0"/>
        <v>10</v>
      </c>
      <c r="E35" s="2">
        <f t="shared" ca="1" si="1"/>
        <v>1</v>
      </c>
    </row>
    <row r="36" spans="1:5" x14ac:dyDescent="0.3">
      <c r="A36" s="3">
        <f t="shared" si="2"/>
        <v>34</v>
      </c>
      <c r="B36" s="3">
        <f t="shared" ca="1" si="3"/>
        <v>6</v>
      </c>
      <c r="C36" s="3">
        <f t="shared" ca="1" si="3"/>
        <v>6</v>
      </c>
      <c r="D36" s="2">
        <f t="shared" ca="1" si="0"/>
        <v>12</v>
      </c>
      <c r="E36" s="2">
        <f t="shared" ca="1" si="1"/>
        <v>1</v>
      </c>
    </row>
    <row r="37" spans="1:5" x14ac:dyDescent="0.3">
      <c r="A37" s="3">
        <f t="shared" si="2"/>
        <v>35</v>
      </c>
      <c r="B37" s="3">
        <f t="shared" ca="1" si="3"/>
        <v>1</v>
      </c>
      <c r="C37" s="3">
        <f t="shared" ca="1" si="3"/>
        <v>6</v>
      </c>
      <c r="D37" s="2">
        <f t="shared" ca="1" si="0"/>
        <v>7</v>
      </c>
      <c r="E37" s="2">
        <f t="shared" ca="1" si="1"/>
        <v>0</v>
      </c>
    </row>
    <row r="38" spans="1:5" x14ac:dyDescent="0.3">
      <c r="A38" s="3">
        <f t="shared" si="2"/>
        <v>36</v>
      </c>
      <c r="B38" s="3">
        <f t="shared" ca="1" si="3"/>
        <v>2</v>
      </c>
      <c r="C38" s="3">
        <f t="shared" ca="1" si="3"/>
        <v>3</v>
      </c>
      <c r="D38" s="2">
        <f t="shared" ca="1" si="0"/>
        <v>5</v>
      </c>
      <c r="E38" s="2">
        <f t="shared" ca="1" si="1"/>
        <v>0</v>
      </c>
    </row>
    <row r="39" spans="1:5" x14ac:dyDescent="0.3">
      <c r="A39" s="3">
        <f t="shared" si="2"/>
        <v>37</v>
      </c>
      <c r="B39" s="3">
        <f t="shared" ca="1" si="3"/>
        <v>6</v>
      </c>
      <c r="C39" s="3">
        <f t="shared" ca="1" si="3"/>
        <v>3</v>
      </c>
      <c r="D39" s="2">
        <f t="shared" ca="1" si="0"/>
        <v>9</v>
      </c>
      <c r="E39" s="2">
        <f t="shared" ca="1" si="1"/>
        <v>1</v>
      </c>
    </row>
    <row r="40" spans="1:5" x14ac:dyDescent="0.3">
      <c r="A40" s="3">
        <f t="shared" si="2"/>
        <v>38</v>
      </c>
      <c r="B40" s="3">
        <f t="shared" ca="1" si="3"/>
        <v>5</v>
      </c>
      <c r="C40" s="3">
        <f t="shared" ca="1" si="3"/>
        <v>5</v>
      </c>
      <c r="D40" s="2">
        <f t="shared" ca="1" si="0"/>
        <v>10</v>
      </c>
      <c r="E40" s="2">
        <f t="shared" ca="1" si="1"/>
        <v>1</v>
      </c>
    </row>
    <row r="41" spans="1:5" x14ac:dyDescent="0.3">
      <c r="A41" s="3">
        <f t="shared" si="2"/>
        <v>39</v>
      </c>
      <c r="B41" s="3">
        <f t="shared" ca="1" si="3"/>
        <v>1</v>
      </c>
      <c r="C41" s="3">
        <f t="shared" ca="1" si="3"/>
        <v>6</v>
      </c>
      <c r="D41" s="2">
        <f t="shared" ca="1" si="0"/>
        <v>7</v>
      </c>
      <c r="E41" s="2">
        <f t="shared" ca="1" si="1"/>
        <v>0</v>
      </c>
    </row>
    <row r="42" spans="1:5" x14ac:dyDescent="0.3">
      <c r="A42" s="3">
        <f t="shared" si="2"/>
        <v>40</v>
      </c>
      <c r="B42" s="3">
        <f t="shared" ca="1" si="3"/>
        <v>5</v>
      </c>
      <c r="C42" s="3">
        <f t="shared" ca="1" si="3"/>
        <v>3</v>
      </c>
      <c r="D42" s="2">
        <f t="shared" ca="1" si="0"/>
        <v>8</v>
      </c>
      <c r="E42" s="2">
        <f t="shared" ca="1" si="1"/>
        <v>1</v>
      </c>
    </row>
    <row r="43" spans="1:5" x14ac:dyDescent="0.3">
      <c r="A43" s="3">
        <f t="shared" si="2"/>
        <v>41</v>
      </c>
      <c r="B43" s="3">
        <f t="shared" ca="1" si="3"/>
        <v>2</v>
      </c>
      <c r="C43" s="3">
        <f t="shared" ca="1" si="3"/>
        <v>4</v>
      </c>
      <c r="D43" s="2">
        <f t="shared" ca="1" si="0"/>
        <v>6</v>
      </c>
      <c r="E43" s="2">
        <f t="shared" ca="1" si="1"/>
        <v>0</v>
      </c>
    </row>
    <row r="44" spans="1:5" x14ac:dyDescent="0.3">
      <c r="A44" s="3">
        <f t="shared" si="2"/>
        <v>42</v>
      </c>
      <c r="B44" s="3">
        <f t="shared" ca="1" si="3"/>
        <v>4</v>
      </c>
      <c r="C44" s="3">
        <f t="shared" ca="1" si="3"/>
        <v>3</v>
      </c>
      <c r="D44" s="2">
        <f t="shared" ca="1" si="0"/>
        <v>7</v>
      </c>
      <c r="E44" s="2">
        <f t="shared" ca="1" si="1"/>
        <v>0</v>
      </c>
    </row>
    <row r="45" spans="1:5" x14ac:dyDescent="0.3">
      <c r="A45" s="3">
        <f t="shared" si="2"/>
        <v>43</v>
      </c>
      <c r="B45" s="3">
        <f t="shared" ca="1" si="3"/>
        <v>3</v>
      </c>
      <c r="C45" s="3">
        <f t="shared" ca="1" si="3"/>
        <v>6</v>
      </c>
      <c r="D45" s="2">
        <f t="shared" ca="1" si="0"/>
        <v>9</v>
      </c>
      <c r="E45" s="2">
        <f t="shared" ca="1" si="1"/>
        <v>1</v>
      </c>
    </row>
    <row r="46" spans="1:5" x14ac:dyDescent="0.3">
      <c r="A46" s="3">
        <f t="shared" si="2"/>
        <v>44</v>
      </c>
      <c r="B46" s="3">
        <f t="shared" ca="1" si="3"/>
        <v>1</v>
      </c>
      <c r="C46" s="3">
        <f t="shared" ca="1" si="3"/>
        <v>4</v>
      </c>
      <c r="D46" s="2">
        <f t="shared" ca="1" si="0"/>
        <v>5</v>
      </c>
      <c r="E46" s="2">
        <f t="shared" ca="1" si="1"/>
        <v>0</v>
      </c>
    </row>
    <row r="47" spans="1:5" x14ac:dyDescent="0.3">
      <c r="A47" s="3">
        <f t="shared" si="2"/>
        <v>45</v>
      </c>
      <c r="B47" s="3">
        <f t="shared" ca="1" si="3"/>
        <v>5</v>
      </c>
      <c r="C47" s="3">
        <f t="shared" ca="1" si="3"/>
        <v>3</v>
      </c>
      <c r="D47" s="2">
        <f t="shared" ca="1" si="0"/>
        <v>8</v>
      </c>
      <c r="E47" s="2">
        <f t="shared" ca="1" si="1"/>
        <v>1</v>
      </c>
    </row>
    <row r="48" spans="1:5" x14ac:dyDescent="0.3">
      <c r="A48" s="3">
        <f t="shared" si="2"/>
        <v>46</v>
      </c>
      <c r="B48" s="3">
        <f t="shared" ca="1" si="3"/>
        <v>5</v>
      </c>
      <c r="C48" s="3">
        <f t="shared" ca="1" si="3"/>
        <v>5</v>
      </c>
      <c r="D48" s="2">
        <f t="shared" ca="1" si="0"/>
        <v>10</v>
      </c>
      <c r="E48" s="2">
        <f t="shared" ca="1" si="1"/>
        <v>1</v>
      </c>
    </row>
    <row r="49" spans="1:5" x14ac:dyDescent="0.3">
      <c r="A49" s="3">
        <f t="shared" si="2"/>
        <v>47</v>
      </c>
      <c r="B49" s="3">
        <f t="shared" ca="1" si="3"/>
        <v>1</v>
      </c>
      <c r="C49" s="3">
        <f t="shared" ca="1" si="3"/>
        <v>5</v>
      </c>
      <c r="D49" s="2">
        <f t="shared" ca="1" si="0"/>
        <v>6</v>
      </c>
      <c r="E49" s="2">
        <f t="shared" ca="1" si="1"/>
        <v>0</v>
      </c>
    </row>
    <row r="50" spans="1:5" x14ac:dyDescent="0.3">
      <c r="A50" s="3">
        <f t="shared" si="2"/>
        <v>48</v>
      </c>
      <c r="B50" s="3">
        <f t="shared" ca="1" si="3"/>
        <v>2</v>
      </c>
      <c r="C50" s="3">
        <f t="shared" ca="1" si="3"/>
        <v>1</v>
      </c>
      <c r="D50" s="2">
        <f t="shared" ca="1" si="0"/>
        <v>3</v>
      </c>
      <c r="E50" s="2">
        <f t="shared" ca="1" si="1"/>
        <v>0</v>
      </c>
    </row>
    <row r="51" spans="1:5" x14ac:dyDescent="0.3">
      <c r="A51" s="3">
        <f t="shared" si="2"/>
        <v>49</v>
      </c>
      <c r="B51" s="3">
        <f t="shared" ca="1" si="3"/>
        <v>2</v>
      </c>
      <c r="C51" s="3">
        <f t="shared" ca="1" si="3"/>
        <v>2</v>
      </c>
      <c r="D51" s="2">
        <f t="shared" ca="1" si="0"/>
        <v>4</v>
      </c>
      <c r="E51" s="2">
        <f t="shared" ca="1" si="1"/>
        <v>0</v>
      </c>
    </row>
    <row r="52" spans="1:5" x14ac:dyDescent="0.3">
      <c r="A52" s="3">
        <f t="shared" si="2"/>
        <v>50</v>
      </c>
      <c r="B52" s="3">
        <f t="shared" ca="1" si="3"/>
        <v>1</v>
      </c>
      <c r="C52" s="3">
        <f t="shared" ca="1" si="3"/>
        <v>2</v>
      </c>
      <c r="D52" s="2">
        <f t="shared" ca="1" si="0"/>
        <v>3</v>
      </c>
      <c r="E52" s="2">
        <f t="shared" ca="1" si="1"/>
        <v>0</v>
      </c>
    </row>
    <row r="53" spans="1:5" x14ac:dyDescent="0.3">
      <c r="A53" s="3">
        <f t="shared" si="2"/>
        <v>51</v>
      </c>
      <c r="B53" s="3">
        <f t="shared" ca="1" si="3"/>
        <v>1</v>
      </c>
      <c r="C53" s="3">
        <f t="shared" ca="1" si="3"/>
        <v>6</v>
      </c>
      <c r="D53" s="2">
        <f t="shared" ca="1" si="0"/>
        <v>7</v>
      </c>
      <c r="E53" s="2">
        <f t="shared" ca="1" si="1"/>
        <v>0</v>
      </c>
    </row>
    <row r="54" spans="1:5" x14ac:dyDescent="0.3">
      <c r="A54" s="3">
        <f t="shared" si="2"/>
        <v>52</v>
      </c>
      <c r="B54" s="3">
        <f t="shared" ca="1" si="3"/>
        <v>2</v>
      </c>
      <c r="C54" s="3">
        <f t="shared" ca="1" si="3"/>
        <v>4</v>
      </c>
      <c r="D54" s="2">
        <f t="shared" ca="1" si="0"/>
        <v>6</v>
      </c>
      <c r="E54" s="2">
        <f t="shared" ca="1" si="1"/>
        <v>0</v>
      </c>
    </row>
    <row r="55" spans="1:5" x14ac:dyDescent="0.3">
      <c r="A55" s="3">
        <f t="shared" si="2"/>
        <v>53</v>
      </c>
      <c r="B55" s="3">
        <f t="shared" ca="1" si="3"/>
        <v>5</v>
      </c>
      <c r="C55" s="3">
        <f t="shared" ca="1" si="3"/>
        <v>4</v>
      </c>
      <c r="D55" s="2">
        <f t="shared" ca="1" si="0"/>
        <v>9</v>
      </c>
      <c r="E55" s="2">
        <f t="shared" ca="1" si="1"/>
        <v>1</v>
      </c>
    </row>
    <row r="56" spans="1:5" x14ac:dyDescent="0.3">
      <c r="A56" s="3">
        <f t="shared" si="2"/>
        <v>54</v>
      </c>
      <c r="B56" s="3">
        <f t="shared" ca="1" si="3"/>
        <v>3</v>
      </c>
      <c r="C56" s="3">
        <f t="shared" ca="1" si="3"/>
        <v>6</v>
      </c>
      <c r="D56" s="2">
        <f t="shared" ca="1" si="0"/>
        <v>9</v>
      </c>
      <c r="E56" s="2">
        <f t="shared" ca="1" si="1"/>
        <v>1</v>
      </c>
    </row>
    <row r="57" spans="1:5" x14ac:dyDescent="0.3">
      <c r="A57" s="3">
        <f t="shared" si="2"/>
        <v>55</v>
      </c>
      <c r="B57" s="3">
        <f t="shared" ca="1" si="3"/>
        <v>2</v>
      </c>
      <c r="C57" s="3">
        <f t="shared" ca="1" si="3"/>
        <v>6</v>
      </c>
      <c r="D57" s="2">
        <f t="shared" ca="1" si="0"/>
        <v>8</v>
      </c>
      <c r="E57" s="2">
        <f t="shared" ca="1" si="1"/>
        <v>1</v>
      </c>
    </row>
    <row r="58" spans="1:5" x14ac:dyDescent="0.3">
      <c r="A58" s="3">
        <f t="shared" si="2"/>
        <v>56</v>
      </c>
      <c r="B58" s="3">
        <f t="shared" ca="1" si="3"/>
        <v>2</v>
      </c>
      <c r="C58" s="3">
        <f t="shared" ca="1" si="3"/>
        <v>3</v>
      </c>
      <c r="D58" s="2">
        <f t="shared" ca="1" si="0"/>
        <v>5</v>
      </c>
      <c r="E58" s="2">
        <f t="shared" ca="1" si="1"/>
        <v>0</v>
      </c>
    </row>
    <row r="59" spans="1:5" x14ac:dyDescent="0.3">
      <c r="A59" s="3">
        <f t="shared" si="2"/>
        <v>57</v>
      </c>
      <c r="B59" s="3">
        <f t="shared" ca="1" si="3"/>
        <v>3</v>
      </c>
      <c r="C59" s="3">
        <f t="shared" ca="1" si="3"/>
        <v>1</v>
      </c>
      <c r="D59" s="2">
        <f t="shared" ca="1" si="0"/>
        <v>4</v>
      </c>
      <c r="E59" s="2">
        <f t="shared" ca="1" si="1"/>
        <v>0</v>
      </c>
    </row>
    <row r="60" spans="1:5" x14ac:dyDescent="0.3">
      <c r="A60" s="3">
        <f t="shared" si="2"/>
        <v>58</v>
      </c>
      <c r="B60" s="3">
        <f t="shared" ca="1" si="3"/>
        <v>5</v>
      </c>
      <c r="C60" s="3">
        <f t="shared" ca="1" si="3"/>
        <v>1</v>
      </c>
      <c r="D60" s="2">
        <f t="shared" ca="1" si="0"/>
        <v>6</v>
      </c>
      <c r="E60" s="2">
        <f t="shared" ca="1" si="1"/>
        <v>0</v>
      </c>
    </row>
    <row r="61" spans="1:5" x14ac:dyDescent="0.3">
      <c r="A61" s="3">
        <f t="shared" si="2"/>
        <v>59</v>
      </c>
      <c r="B61" s="3">
        <f t="shared" ca="1" si="3"/>
        <v>3</v>
      </c>
      <c r="C61" s="3">
        <f t="shared" ca="1" si="3"/>
        <v>1</v>
      </c>
      <c r="D61" s="2">
        <f t="shared" ca="1" si="0"/>
        <v>4</v>
      </c>
      <c r="E61" s="2">
        <f t="shared" ca="1" si="1"/>
        <v>0</v>
      </c>
    </row>
    <row r="62" spans="1:5" x14ac:dyDescent="0.3">
      <c r="A62" s="3">
        <f t="shared" si="2"/>
        <v>60</v>
      </c>
      <c r="B62" s="3">
        <f t="shared" ca="1" si="3"/>
        <v>4</v>
      </c>
      <c r="C62" s="3">
        <f t="shared" ca="1" si="3"/>
        <v>5</v>
      </c>
      <c r="D62" s="2">
        <f t="shared" ca="1" si="0"/>
        <v>9</v>
      </c>
      <c r="E62" s="2">
        <f t="shared" ca="1" si="1"/>
        <v>1</v>
      </c>
    </row>
    <row r="63" spans="1:5" x14ac:dyDescent="0.3">
      <c r="A63" s="3">
        <f t="shared" si="2"/>
        <v>61</v>
      </c>
      <c r="B63" s="3">
        <f t="shared" ca="1" si="3"/>
        <v>1</v>
      </c>
      <c r="C63" s="3">
        <f t="shared" ca="1" si="3"/>
        <v>4</v>
      </c>
      <c r="D63" s="2">
        <f t="shared" ca="1" si="0"/>
        <v>5</v>
      </c>
      <c r="E63" s="2">
        <f t="shared" ca="1" si="1"/>
        <v>0</v>
      </c>
    </row>
    <row r="64" spans="1:5" x14ac:dyDescent="0.3">
      <c r="A64" s="3">
        <f t="shared" si="2"/>
        <v>62</v>
      </c>
      <c r="B64" s="3">
        <f t="shared" ca="1" si="3"/>
        <v>2</v>
      </c>
      <c r="C64" s="3">
        <f t="shared" ca="1" si="3"/>
        <v>6</v>
      </c>
      <c r="D64" s="2">
        <f t="shared" ca="1" si="0"/>
        <v>8</v>
      </c>
      <c r="E64" s="2">
        <f t="shared" ca="1" si="1"/>
        <v>1</v>
      </c>
    </row>
    <row r="65" spans="1:5" x14ac:dyDescent="0.3">
      <c r="A65" s="3">
        <f t="shared" si="2"/>
        <v>63</v>
      </c>
      <c r="B65" s="3">
        <f t="shared" ca="1" si="3"/>
        <v>6</v>
      </c>
      <c r="C65" s="3">
        <f t="shared" ca="1" si="3"/>
        <v>4</v>
      </c>
      <c r="D65" s="2">
        <f t="shared" ca="1" si="0"/>
        <v>10</v>
      </c>
      <c r="E65" s="2">
        <f t="shared" ca="1" si="1"/>
        <v>1</v>
      </c>
    </row>
    <row r="66" spans="1:5" x14ac:dyDescent="0.3">
      <c r="A66" s="3">
        <f t="shared" si="2"/>
        <v>64</v>
      </c>
      <c r="B66" s="3">
        <f t="shared" ca="1" si="3"/>
        <v>1</v>
      </c>
      <c r="C66" s="3">
        <f t="shared" ca="1" si="3"/>
        <v>3</v>
      </c>
      <c r="D66" s="2">
        <f t="shared" ca="1" si="0"/>
        <v>4</v>
      </c>
      <c r="E66" s="2">
        <f t="shared" ca="1" si="1"/>
        <v>0</v>
      </c>
    </row>
    <row r="67" spans="1:5" x14ac:dyDescent="0.3">
      <c r="A67" s="3">
        <f t="shared" si="2"/>
        <v>65</v>
      </c>
      <c r="B67" s="3">
        <f t="shared" ca="1" si="3"/>
        <v>2</v>
      </c>
      <c r="C67" s="3">
        <f t="shared" ca="1" si="3"/>
        <v>5</v>
      </c>
      <c r="D67" s="2">
        <f t="shared" ca="1" si="0"/>
        <v>7</v>
      </c>
      <c r="E67" s="2">
        <f t="shared" ca="1" si="1"/>
        <v>0</v>
      </c>
    </row>
    <row r="68" spans="1:5" x14ac:dyDescent="0.3">
      <c r="A68" s="3">
        <f t="shared" si="2"/>
        <v>66</v>
      </c>
      <c r="B68" s="3">
        <f t="shared" ca="1" si="3"/>
        <v>1</v>
      </c>
      <c r="C68" s="3">
        <f t="shared" ca="1" si="3"/>
        <v>3</v>
      </c>
      <c r="D68" s="2">
        <f t="shared" ref="D68:D131" ca="1" si="6">C68+B68</f>
        <v>4</v>
      </c>
      <c r="E68" s="2">
        <f t="shared" ref="E68:E131" ca="1" si="7">IF(D68&gt;=8,1,0)</f>
        <v>0</v>
      </c>
    </row>
    <row r="69" spans="1:5" x14ac:dyDescent="0.3">
      <c r="A69" s="3">
        <f t="shared" ref="A69:A132" si="8">A68+1</f>
        <v>67</v>
      </c>
      <c r="B69" s="3">
        <f t="shared" ref="B69:C132" ca="1" si="9">RANDBETWEEN(1,6)</f>
        <v>6</v>
      </c>
      <c r="C69" s="3">
        <f t="shared" ca="1" si="9"/>
        <v>3</v>
      </c>
      <c r="D69" s="2">
        <f t="shared" ca="1" si="6"/>
        <v>9</v>
      </c>
      <c r="E69" s="2">
        <f t="shared" ca="1" si="7"/>
        <v>1</v>
      </c>
    </row>
    <row r="70" spans="1:5" x14ac:dyDescent="0.3">
      <c r="A70" s="3">
        <f t="shared" si="8"/>
        <v>68</v>
      </c>
      <c r="B70" s="3">
        <f t="shared" ca="1" si="9"/>
        <v>5</v>
      </c>
      <c r="C70" s="3">
        <f t="shared" ca="1" si="9"/>
        <v>4</v>
      </c>
      <c r="D70" s="2">
        <f t="shared" ca="1" si="6"/>
        <v>9</v>
      </c>
      <c r="E70" s="2">
        <f t="shared" ca="1" si="7"/>
        <v>1</v>
      </c>
    </row>
    <row r="71" spans="1:5" x14ac:dyDescent="0.3">
      <c r="A71" s="3">
        <f t="shared" si="8"/>
        <v>69</v>
      </c>
      <c r="B71" s="3">
        <f t="shared" ca="1" si="9"/>
        <v>3</v>
      </c>
      <c r="C71" s="3">
        <f t="shared" ca="1" si="9"/>
        <v>5</v>
      </c>
      <c r="D71" s="2">
        <f t="shared" ca="1" si="6"/>
        <v>8</v>
      </c>
      <c r="E71" s="2">
        <f t="shared" ca="1" si="7"/>
        <v>1</v>
      </c>
    </row>
    <row r="72" spans="1:5" x14ac:dyDescent="0.3">
      <c r="A72" s="3">
        <f t="shared" si="8"/>
        <v>70</v>
      </c>
      <c r="B72" s="3">
        <f t="shared" ca="1" si="9"/>
        <v>4</v>
      </c>
      <c r="C72" s="3">
        <f t="shared" ca="1" si="9"/>
        <v>6</v>
      </c>
      <c r="D72" s="2">
        <f t="shared" ca="1" si="6"/>
        <v>10</v>
      </c>
      <c r="E72" s="2">
        <f t="shared" ca="1" si="7"/>
        <v>1</v>
      </c>
    </row>
    <row r="73" spans="1:5" x14ac:dyDescent="0.3">
      <c r="A73" s="3">
        <f t="shared" si="8"/>
        <v>71</v>
      </c>
      <c r="B73" s="3">
        <f t="shared" ca="1" si="9"/>
        <v>6</v>
      </c>
      <c r="C73" s="3">
        <f t="shared" ca="1" si="9"/>
        <v>2</v>
      </c>
      <c r="D73" s="2">
        <f t="shared" ca="1" si="6"/>
        <v>8</v>
      </c>
      <c r="E73" s="2">
        <f t="shared" ca="1" si="7"/>
        <v>1</v>
      </c>
    </row>
    <row r="74" spans="1:5" x14ac:dyDescent="0.3">
      <c r="A74" s="3">
        <f t="shared" si="8"/>
        <v>72</v>
      </c>
      <c r="B74" s="3">
        <f t="shared" ca="1" si="9"/>
        <v>4</v>
      </c>
      <c r="C74" s="3">
        <f t="shared" ca="1" si="9"/>
        <v>6</v>
      </c>
      <c r="D74" s="2">
        <f t="shared" ca="1" si="6"/>
        <v>10</v>
      </c>
      <c r="E74" s="2">
        <f t="shared" ca="1" si="7"/>
        <v>1</v>
      </c>
    </row>
    <row r="75" spans="1:5" x14ac:dyDescent="0.3">
      <c r="A75" s="3">
        <f t="shared" si="8"/>
        <v>73</v>
      </c>
      <c r="B75" s="3">
        <f t="shared" ca="1" si="9"/>
        <v>6</v>
      </c>
      <c r="C75" s="3">
        <f t="shared" ca="1" si="9"/>
        <v>1</v>
      </c>
      <c r="D75" s="2">
        <f t="shared" ca="1" si="6"/>
        <v>7</v>
      </c>
      <c r="E75" s="2">
        <f t="shared" ca="1" si="7"/>
        <v>0</v>
      </c>
    </row>
    <row r="76" spans="1:5" x14ac:dyDescent="0.3">
      <c r="A76" s="3">
        <f t="shared" si="8"/>
        <v>74</v>
      </c>
      <c r="B76" s="3">
        <f t="shared" ca="1" si="9"/>
        <v>5</v>
      </c>
      <c r="C76" s="3">
        <f t="shared" ca="1" si="9"/>
        <v>6</v>
      </c>
      <c r="D76" s="2">
        <f t="shared" ca="1" si="6"/>
        <v>11</v>
      </c>
      <c r="E76" s="2">
        <f t="shared" ca="1" si="7"/>
        <v>1</v>
      </c>
    </row>
    <row r="77" spans="1:5" x14ac:dyDescent="0.3">
      <c r="A77" s="3">
        <f t="shared" si="8"/>
        <v>75</v>
      </c>
      <c r="B77" s="3">
        <f t="shared" ca="1" si="9"/>
        <v>5</v>
      </c>
      <c r="C77" s="3">
        <f t="shared" ca="1" si="9"/>
        <v>6</v>
      </c>
      <c r="D77" s="2">
        <f t="shared" ca="1" si="6"/>
        <v>11</v>
      </c>
      <c r="E77" s="2">
        <f t="shared" ca="1" si="7"/>
        <v>1</v>
      </c>
    </row>
    <row r="78" spans="1:5" x14ac:dyDescent="0.3">
      <c r="A78" s="3">
        <f t="shared" si="8"/>
        <v>76</v>
      </c>
      <c r="B78" s="3">
        <f t="shared" ca="1" si="9"/>
        <v>3</v>
      </c>
      <c r="C78" s="3">
        <f t="shared" ca="1" si="9"/>
        <v>3</v>
      </c>
      <c r="D78" s="2">
        <f t="shared" ca="1" si="6"/>
        <v>6</v>
      </c>
      <c r="E78" s="2">
        <f t="shared" ca="1" si="7"/>
        <v>0</v>
      </c>
    </row>
    <row r="79" spans="1:5" x14ac:dyDescent="0.3">
      <c r="A79" s="3">
        <f t="shared" si="8"/>
        <v>77</v>
      </c>
      <c r="B79" s="3">
        <f t="shared" ca="1" si="9"/>
        <v>1</v>
      </c>
      <c r="C79" s="3">
        <f t="shared" ca="1" si="9"/>
        <v>4</v>
      </c>
      <c r="D79" s="2">
        <f t="shared" ca="1" si="6"/>
        <v>5</v>
      </c>
      <c r="E79" s="2">
        <f t="shared" ca="1" si="7"/>
        <v>0</v>
      </c>
    </row>
    <row r="80" spans="1:5" x14ac:dyDescent="0.3">
      <c r="A80" s="3">
        <f t="shared" si="8"/>
        <v>78</v>
      </c>
      <c r="B80" s="3">
        <f t="shared" ca="1" si="9"/>
        <v>4</v>
      </c>
      <c r="C80" s="3">
        <f t="shared" ca="1" si="9"/>
        <v>1</v>
      </c>
      <c r="D80" s="2">
        <f t="shared" ca="1" si="6"/>
        <v>5</v>
      </c>
      <c r="E80" s="2">
        <f t="shared" ca="1" si="7"/>
        <v>0</v>
      </c>
    </row>
    <row r="81" spans="1:5" x14ac:dyDescent="0.3">
      <c r="A81" s="3">
        <f t="shared" si="8"/>
        <v>79</v>
      </c>
      <c r="B81" s="3">
        <f t="shared" ca="1" si="9"/>
        <v>5</v>
      </c>
      <c r="C81" s="3">
        <f t="shared" ca="1" si="9"/>
        <v>6</v>
      </c>
      <c r="D81" s="2">
        <f t="shared" ca="1" si="6"/>
        <v>11</v>
      </c>
      <c r="E81" s="2">
        <f t="shared" ca="1" si="7"/>
        <v>1</v>
      </c>
    </row>
    <row r="82" spans="1:5" x14ac:dyDescent="0.3">
      <c r="A82" s="3">
        <f t="shared" si="8"/>
        <v>80</v>
      </c>
      <c r="B82" s="3">
        <f t="shared" ca="1" si="9"/>
        <v>4</v>
      </c>
      <c r="C82" s="3">
        <f t="shared" ca="1" si="9"/>
        <v>1</v>
      </c>
      <c r="D82" s="2">
        <f t="shared" ca="1" si="6"/>
        <v>5</v>
      </c>
      <c r="E82" s="2">
        <f t="shared" ca="1" si="7"/>
        <v>0</v>
      </c>
    </row>
    <row r="83" spans="1:5" x14ac:dyDescent="0.3">
      <c r="A83" s="3">
        <f t="shared" si="8"/>
        <v>81</v>
      </c>
      <c r="B83" s="3">
        <f t="shared" ca="1" si="9"/>
        <v>3</v>
      </c>
      <c r="C83" s="3">
        <f t="shared" ca="1" si="9"/>
        <v>3</v>
      </c>
      <c r="D83" s="2">
        <f t="shared" ca="1" si="6"/>
        <v>6</v>
      </c>
      <c r="E83" s="2">
        <f t="shared" ca="1" si="7"/>
        <v>0</v>
      </c>
    </row>
    <row r="84" spans="1:5" x14ac:dyDescent="0.3">
      <c r="A84" s="3">
        <f t="shared" si="8"/>
        <v>82</v>
      </c>
      <c r="B84" s="3">
        <f t="shared" ca="1" si="9"/>
        <v>3</v>
      </c>
      <c r="C84" s="3">
        <f t="shared" ca="1" si="9"/>
        <v>5</v>
      </c>
      <c r="D84" s="2">
        <f t="shared" ca="1" si="6"/>
        <v>8</v>
      </c>
      <c r="E84" s="2">
        <f t="shared" ca="1" si="7"/>
        <v>1</v>
      </c>
    </row>
    <row r="85" spans="1:5" x14ac:dyDescent="0.3">
      <c r="A85" s="3">
        <f t="shared" si="8"/>
        <v>83</v>
      </c>
      <c r="B85" s="3">
        <f t="shared" ca="1" si="9"/>
        <v>4</v>
      </c>
      <c r="C85" s="3">
        <f t="shared" ca="1" si="9"/>
        <v>3</v>
      </c>
      <c r="D85" s="2">
        <f t="shared" ca="1" si="6"/>
        <v>7</v>
      </c>
      <c r="E85" s="2">
        <f t="shared" ca="1" si="7"/>
        <v>0</v>
      </c>
    </row>
    <row r="86" spans="1:5" x14ac:dyDescent="0.3">
      <c r="A86" s="3">
        <f t="shared" si="8"/>
        <v>84</v>
      </c>
      <c r="B86" s="3">
        <f t="shared" ca="1" si="9"/>
        <v>3</v>
      </c>
      <c r="C86" s="3">
        <f t="shared" ca="1" si="9"/>
        <v>5</v>
      </c>
      <c r="D86" s="2">
        <f t="shared" ca="1" si="6"/>
        <v>8</v>
      </c>
      <c r="E86" s="2">
        <f t="shared" ca="1" si="7"/>
        <v>1</v>
      </c>
    </row>
    <row r="87" spans="1:5" x14ac:dyDescent="0.3">
      <c r="A87" s="3">
        <f t="shared" si="8"/>
        <v>85</v>
      </c>
      <c r="B87" s="3">
        <f t="shared" ca="1" si="9"/>
        <v>5</v>
      </c>
      <c r="C87" s="3">
        <f t="shared" ca="1" si="9"/>
        <v>3</v>
      </c>
      <c r="D87" s="2">
        <f t="shared" ca="1" si="6"/>
        <v>8</v>
      </c>
      <c r="E87" s="2">
        <f t="shared" ca="1" si="7"/>
        <v>1</v>
      </c>
    </row>
    <row r="88" spans="1:5" x14ac:dyDescent="0.3">
      <c r="A88" s="3">
        <f t="shared" si="8"/>
        <v>86</v>
      </c>
      <c r="B88" s="3">
        <f t="shared" ca="1" si="9"/>
        <v>4</v>
      </c>
      <c r="C88" s="3">
        <f t="shared" ca="1" si="9"/>
        <v>5</v>
      </c>
      <c r="D88" s="2">
        <f t="shared" ca="1" si="6"/>
        <v>9</v>
      </c>
      <c r="E88" s="2">
        <f t="shared" ca="1" si="7"/>
        <v>1</v>
      </c>
    </row>
    <row r="89" spans="1:5" x14ac:dyDescent="0.3">
      <c r="A89" s="3">
        <f t="shared" si="8"/>
        <v>87</v>
      </c>
      <c r="B89" s="3">
        <f t="shared" ca="1" si="9"/>
        <v>1</v>
      </c>
      <c r="C89" s="3">
        <f t="shared" ca="1" si="9"/>
        <v>1</v>
      </c>
      <c r="D89" s="2">
        <f t="shared" ca="1" si="6"/>
        <v>2</v>
      </c>
      <c r="E89" s="2">
        <f t="shared" ca="1" si="7"/>
        <v>0</v>
      </c>
    </row>
    <row r="90" spans="1:5" x14ac:dyDescent="0.3">
      <c r="A90" s="3">
        <f t="shared" si="8"/>
        <v>88</v>
      </c>
      <c r="B90" s="3">
        <f t="shared" ca="1" si="9"/>
        <v>5</v>
      </c>
      <c r="C90" s="3">
        <f t="shared" ca="1" si="9"/>
        <v>1</v>
      </c>
      <c r="D90" s="2">
        <f t="shared" ca="1" si="6"/>
        <v>6</v>
      </c>
      <c r="E90" s="2">
        <f t="shared" ca="1" si="7"/>
        <v>0</v>
      </c>
    </row>
    <row r="91" spans="1:5" x14ac:dyDescent="0.3">
      <c r="A91" s="3">
        <f t="shared" si="8"/>
        <v>89</v>
      </c>
      <c r="B91" s="3">
        <f t="shared" ca="1" si="9"/>
        <v>3</v>
      </c>
      <c r="C91" s="3">
        <f t="shared" ca="1" si="9"/>
        <v>3</v>
      </c>
      <c r="D91" s="2">
        <f t="shared" ca="1" si="6"/>
        <v>6</v>
      </c>
      <c r="E91" s="2">
        <f t="shared" ca="1" si="7"/>
        <v>0</v>
      </c>
    </row>
    <row r="92" spans="1:5" x14ac:dyDescent="0.3">
      <c r="A92" s="3">
        <f t="shared" si="8"/>
        <v>90</v>
      </c>
      <c r="B92" s="3">
        <f t="shared" ca="1" si="9"/>
        <v>6</v>
      </c>
      <c r="C92" s="3">
        <f t="shared" ca="1" si="9"/>
        <v>4</v>
      </c>
      <c r="D92" s="2">
        <f t="shared" ca="1" si="6"/>
        <v>10</v>
      </c>
      <c r="E92" s="2">
        <f t="shared" ca="1" si="7"/>
        <v>1</v>
      </c>
    </row>
    <row r="93" spans="1:5" x14ac:dyDescent="0.3">
      <c r="A93" s="3">
        <f t="shared" si="8"/>
        <v>91</v>
      </c>
      <c r="B93" s="3">
        <f t="shared" ca="1" si="9"/>
        <v>1</v>
      </c>
      <c r="C93" s="3">
        <f t="shared" ca="1" si="9"/>
        <v>1</v>
      </c>
      <c r="D93" s="2">
        <f t="shared" ca="1" si="6"/>
        <v>2</v>
      </c>
      <c r="E93" s="2">
        <f t="shared" ca="1" si="7"/>
        <v>0</v>
      </c>
    </row>
    <row r="94" spans="1:5" x14ac:dyDescent="0.3">
      <c r="A94" s="3">
        <f t="shared" si="8"/>
        <v>92</v>
      </c>
      <c r="B94" s="3">
        <f t="shared" ca="1" si="9"/>
        <v>1</v>
      </c>
      <c r="C94" s="3">
        <f t="shared" ca="1" si="9"/>
        <v>1</v>
      </c>
      <c r="D94" s="2">
        <f t="shared" ca="1" si="6"/>
        <v>2</v>
      </c>
      <c r="E94" s="2">
        <f t="shared" ca="1" si="7"/>
        <v>0</v>
      </c>
    </row>
    <row r="95" spans="1:5" x14ac:dyDescent="0.3">
      <c r="A95" s="3">
        <f t="shared" si="8"/>
        <v>93</v>
      </c>
      <c r="B95" s="3">
        <f t="shared" ca="1" si="9"/>
        <v>3</v>
      </c>
      <c r="C95" s="3">
        <f t="shared" ca="1" si="9"/>
        <v>4</v>
      </c>
      <c r="D95" s="2">
        <f t="shared" ca="1" si="6"/>
        <v>7</v>
      </c>
      <c r="E95" s="2">
        <f t="shared" ca="1" si="7"/>
        <v>0</v>
      </c>
    </row>
    <row r="96" spans="1:5" x14ac:dyDescent="0.3">
      <c r="A96" s="3">
        <f t="shared" si="8"/>
        <v>94</v>
      </c>
      <c r="B96" s="3">
        <f t="shared" ca="1" si="9"/>
        <v>1</v>
      </c>
      <c r="C96" s="3">
        <f t="shared" ca="1" si="9"/>
        <v>6</v>
      </c>
      <c r="D96" s="2">
        <f t="shared" ca="1" si="6"/>
        <v>7</v>
      </c>
      <c r="E96" s="2">
        <f t="shared" ca="1" si="7"/>
        <v>0</v>
      </c>
    </row>
    <row r="97" spans="1:5" x14ac:dyDescent="0.3">
      <c r="A97" s="3">
        <f t="shared" si="8"/>
        <v>95</v>
      </c>
      <c r="B97" s="3">
        <f t="shared" ca="1" si="9"/>
        <v>5</v>
      </c>
      <c r="C97" s="3">
        <f t="shared" ca="1" si="9"/>
        <v>4</v>
      </c>
      <c r="D97" s="2">
        <f t="shared" ca="1" si="6"/>
        <v>9</v>
      </c>
      <c r="E97" s="2">
        <f t="shared" ca="1" si="7"/>
        <v>1</v>
      </c>
    </row>
    <row r="98" spans="1:5" x14ac:dyDescent="0.3">
      <c r="A98" s="3">
        <f t="shared" si="8"/>
        <v>96</v>
      </c>
      <c r="B98" s="3">
        <f t="shared" ca="1" si="9"/>
        <v>3</v>
      </c>
      <c r="C98" s="3">
        <f t="shared" ca="1" si="9"/>
        <v>4</v>
      </c>
      <c r="D98" s="2">
        <f t="shared" ca="1" si="6"/>
        <v>7</v>
      </c>
      <c r="E98" s="2">
        <f t="shared" ca="1" si="7"/>
        <v>0</v>
      </c>
    </row>
    <row r="99" spans="1:5" x14ac:dyDescent="0.3">
      <c r="A99" s="3">
        <f t="shared" si="8"/>
        <v>97</v>
      </c>
      <c r="B99" s="3">
        <f t="shared" ca="1" si="9"/>
        <v>2</v>
      </c>
      <c r="C99" s="3">
        <f t="shared" ca="1" si="9"/>
        <v>5</v>
      </c>
      <c r="D99" s="2">
        <f t="shared" ca="1" si="6"/>
        <v>7</v>
      </c>
      <c r="E99" s="2">
        <f t="shared" ca="1" si="7"/>
        <v>0</v>
      </c>
    </row>
    <row r="100" spans="1:5" x14ac:dyDescent="0.3">
      <c r="A100" s="3">
        <f t="shared" si="8"/>
        <v>98</v>
      </c>
      <c r="B100" s="3">
        <f t="shared" ca="1" si="9"/>
        <v>6</v>
      </c>
      <c r="C100" s="3">
        <f t="shared" ca="1" si="9"/>
        <v>6</v>
      </c>
      <c r="D100" s="2">
        <f t="shared" ca="1" si="6"/>
        <v>12</v>
      </c>
      <c r="E100" s="2">
        <f t="shared" ca="1" si="7"/>
        <v>1</v>
      </c>
    </row>
    <row r="101" spans="1:5" x14ac:dyDescent="0.3">
      <c r="A101" s="3">
        <f t="shared" si="8"/>
        <v>99</v>
      </c>
      <c r="B101" s="3">
        <f t="shared" ca="1" si="9"/>
        <v>3</v>
      </c>
      <c r="C101" s="3">
        <f t="shared" ca="1" si="9"/>
        <v>1</v>
      </c>
      <c r="D101" s="2">
        <f t="shared" ca="1" si="6"/>
        <v>4</v>
      </c>
      <c r="E101" s="2">
        <f t="shared" ca="1" si="7"/>
        <v>0</v>
      </c>
    </row>
    <row r="102" spans="1:5" x14ac:dyDescent="0.3">
      <c r="A102" s="3">
        <f t="shared" si="8"/>
        <v>100</v>
      </c>
      <c r="B102" s="3">
        <f t="shared" ca="1" si="9"/>
        <v>2</v>
      </c>
      <c r="C102" s="3">
        <f t="shared" ca="1" si="9"/>
        <v>2</v>
      </c>
      <c r="D102" s="2">
        <f t="shared" ca="1" si="6"/>
        <v>4</v>
      </c>
      <c r="E102" s="2">
        <f t="shared" ca="1" si="7"/>
        <v>0</v>
      </c>
    </row>
    <row r="103" spans="1:5" x14ac:dyDescent="0.3">
      <c r="A103" s="3">
        <f t="shared" si="8"/>
        <v>101</v>
      </c>
      <c r="B103" s="3">
        <f t="shared" ca="1" si="9"/>
        <v>3</v>
      </c>
      <c r="C103" s="3">
        <f t="shared" ca="1" si="9"/>
        <v>2</v>
      </c>
      <c r="D103" s="2">
        <f t="shared" ca="1" si="6"/>
        <v>5</v>
      </c>
      <c r="E103" s="2">
        <f t="shared" ca="1" si="7"/>
        <v>0</v>
      </c>
    </row>
    <row r="104" spans="1:5" x14ac:dyDescent="0.3">
      <c r="A104" s="3">
        <f t="shared" si="8"/>
        <v>102</v>
      </c>
      <c r="B104" s="3">
        <f t="shared" ca="1" si="9"/>
        <v>1</v>
      </c>
      <c r="C104" s="3">
        <f t="shared" ca="1" si="9"/>
        <v>5</v>
      </c>
      <c r="D104" s="2">
        <f t="shared" ca="1" si="6"/>
        <v>6</v>
      </c>
      <c r="E104" s="2">
        <f t="shared" ca="1" si="7"/>
        <v>0</v>
      </c>
    </row>
    <row r="105" spans="1:5" x14ac:dyDescent="0.3">
      <c r="A105" s="3">
        <f t="shared" si="8"/>
        <v>103</v>
      </c>
      <c r="B105" s="3">
        <f t="shared" ca="1" si="9"/>
        <v>2</v>
      </c>
      <c r="C105" s="3">
        <f t="shared" ca="1" si="9"/>
        <v>3</v>
      </c>
      <c r="D105" s="2">
        <f t="shared" ca="1" si="6"/>
        <v>5</v>
      </c>
      <c r="E105" s="2">
        <f t="shared" ca="1" si="7"/>
        <v>0</v>
      </c>
    </row>
    <row r="106" spans="1:5" x14ac:dyDescent="0.3">
      <c r="A106" s="3">
        <f t="shared" si="8"/>
        <v>104</v>
      </c>
      <c r="B106" s="3">
        <f t="shared" ca="1" si="9"/>
        <v>2</v>
      </c>
      <c r="C106" s="3">
        <f t="shared" ca="1" si="9"/>
        <v>5</v>
      </c>
      <c r="D106" s="2">
        <f t="shared" ca="1" si="6"/>
        <v>7</v>
      </c>
      <c r="E106" s="2">
        <f t="shared" ca="1" si="7"/>
        <v>0</v>
      </c>
    </row>
    <row r="107" spans="1:5" x14ac:dyDescent="0.3">
      <c r="A107" s="3">
        <f t="shared" si="8"/>
        <v>105</v>
      </c>
      <c r="B107" s="3">
        <f t="shared" ca="1" si="9"/>
        <v>4</v>
      </c>
      <c r="C107" s="3">
        <f t="shared" ca="1" si="9"/>
        <v>5</v>
      </c>
      <c r="D107" s="2">
        <f t="shared" ca="1" si="6"/>
        <v>9</v>
      </c>
      <c r="E107" s="2">
        <f t="shared" ca="1" si="7"/>
        <v>1</v>
      </c>
    </row>
    <row r="108" spans="1:5" x14ac:dyDescent="0.3">
      <c r="A108" s="3">
        <f t="shared" si="8"/>
        <v>106</v>
      </c>
      <c r="B108" s="3">
        <f t="shared" ca="1" si="9"/>
        <v>1</v>
      </c>
      <c r="C108" s="3">
        <f t="shared" ca="1" si="9"/>
        <v>3</v>
      </c>
      <c r="D108" s="2">
        <f t="shared" ca="1" si="6"/>
        <v>4</v>
      </c>
      <c r="E108" s="2">
        <f t="shared" ca="1" si="7"/>
        <v>0</v>
      </c>
    </row>
    <row r="109" spans="1:5" x14ac:dyDescent="0.3">
      <c r="A109" s="3">
        <f t="shared" si="8"/>
        <v>107</v>
      </c>
      <c r="B109" s="3">
        <f t="shared" ca="1" si="9"/>
        <v>2</v>
      </c>
      <c r="C109" s="3">
        <f t="shared" ca="1" si="9"/>
        <v>2</v>
      </c>
      <c r="D109" s="2">
        <f t="shared" ca="1" si="6"/>
        <v>4</v>
      </c>
      <c r="E109" s="2">
        <f t="shared" ca="1" si="7"/>
        <v>0</v>
      </c>
    </row>
    <row r="110" spans="1:5" x14ac:dyDescent="0.3">
      <c r="A110" s="3">
        <f t="shared" si="8"/>
        <v>108</v>
      </c>
      <c r="B110" s="3">
        <f t="shared" ca="1" si="9"/>
        <v>2</v>
      </c>
      <c r="C110" s="3">
        <f t="shared" ca="1" si="9"/>
        <v>2</v>
      </c>
      <c r="D110" s="2">
        <f t="shared" ca="1" si="6"/>
        <v>4</v>
      </c>
      <c r="E110" s="2">
        <f t="shared" ca="1" si="7"/>
        <v>0</v>
      </c>
    </row>
    <row r="111" spans="1:5" x14ac:dyDescent="0.3">
      <c r="A111" s="3">
        <f t="shared" si="8"/>
        <v>109</v>
      </c>
      <c r="B111" s="3">
        <f t="shared" ca="1" si="9"/>
        <v>6</v>
      </c>
      <c r="C111" s="3">
        <f t="shared" ca="1" si="9"/>
        <v>1</v>
      </c>
      <c r="D111" s="2">
        <f t="shared" ca="1" si="6"/>
        <v>7</v>
      </c>
      <c r="E111" s="2">
        <f t="shared" ca="1" si="7"/>
        <v>0</v>
      </c>
    </row>
    <row r="112" spans="1:5" x14ac:dyDescent="0.3">
      <c r="A112" s="3">
        <f t="shared" si="8"/>
        <v>110</v>
      </c>
      <c r="B112" s="3">
        <f t="shared" ca="1" si="9"/>
        <v>6</v>
      </c>
      <c r="C112" s="3">
        <f t="shared" ca="1" si="9"/>
        <v>5</v>
      </c>
      <c r="D112" s="2">
        <f t="shared" ca="1" si="6"/>
        <v>11</v>
      </c>
      <c r="E112" s="2">
        <f t="shared" ca="1" si="7"/>
        <v>1</v>
      </c>
    </row>
    <row r="113" spans="1:5" x14ac:dyDescent="0.3">
      <c r="A113" s="3">
        <f t="shared" si="8"/>
        <v>111</v>
      </c>
      <c r="B113" s="3">
        <f t="shared" ca="1" si="9"/>
        <v>3</v>
      </c>
      <c r="C113" s="3">
        <f t="shared" ca="1" si="9"/>
        <v>5</v>
      </c>
      <c r="D113" s="2">
        <f t="shared" ca="1" si="6"/>
        <v>8</v>
      </c>
      <c r="E113" s="2">
        <f t="shared" ca="1" si="7"/>
        <v>1</v>
      </c>
    </row>
    <row r="114" spans="1:5" x14ac:dyDescent="0.3">
      <c r="A114" s="3">
        <f t="shared" si="8"/>
        <v>112</v>
      </c>
      <c r="B114" s="3">
        <f t="shared" ca="1" si="9"/>
        <v>2</v>
      </c>
      <c r="C114" s="3">
        <f t="shared" ca="1" si="9"/>
        <v>5</v>
      </c>
      <c r="D114" s="2">
        <f t="shared" ca="1" si="6"/>
        <v>7</v>
      </c>
      <c r="E114" s="2">
        <f t="shared" ca="1" si="7"/>
        <v>0</v>
      </c>
    </row>
    <row r="115" spans="1:5" x14ac:dyDescent="0.3">
      <c r="A115" s="3">
        <f t="shared" si="8"/>
        <v>113</v>
      </c>
      <c r="B115" s="3">
        <f t="shared" ca="1" si="9"/>
        <v>4</v>
      </c>
      <c r="C115" s="3">
        <f t="shared" ca="1" si="9"/>
        <v>5</v>
      </c>
      <c r="D115" s="2">
        <f t="shared" ca="1" si="6"/>
        <v>9</v>
      </c>
      <c r="E115" s="2">
        <f t="shared" ca="1" si="7"/>
        <v>1</v>
      </c>
    </row>
    <row r="116" spans="1:5" x14ac:dyDescent="0.3">
      <c r="A116" s="3">
        <f t="shared" si="8"/>
        <v>114</v>
      </c>
      <c r="B116" s="3">
        <f t="shared" ca="1" si="9"/>
        <v>1</v>
      </c>
      <c r="C116" s="3">
        <f t="shared" ca="1" si="9"/>
        <v>5</v>
      </c>
      <c r="D116" s="2">
        <f t="shared" ca="1" si="6"/>
        <v>6</v>
      </c>
      <c r="E116" s="2">
        <f t="shared" ca="1" si="7"/>
        <v>0</v>
      </c>
    </row>
    <row r="117" spans="1:5" x14ac:dyDescent="0.3">
      <c r="A117" s="3">
        <f t="shared" si="8"/>
        <v>115</v>
      </c>
      <c r="B117" s="3">
        <f t="shared" ca="1" si="9"/>
        <v>2</v>
      </c>
      <c r="C117" s="3">
        <f t="shared" ca="1" si="9"/>
        <v>3</v>
      </c>
      <c r="D117" s="2">
        <f t="shared" ca="1" si="6"/>
        <v>5</v>
      </c>
      <c r="E117" s="2">
        <f t="shared" ca="1" si="7"/>
        <v>0</v>
      </c>
    </row>
    <row r="118" spans="1:5" x14ac:dyDescent="0.3">
      <c r="A118" s="3">
        <f t="shared" si="8"/>
        <v>116</v>
      </c>
      <c r="B118" s="3">
        <f t="shared" ca="1" si="9"/>
        <v>6</v>
      </c>
      <c r="C118" s="3">
        <f t="shared" ca="1" si="9"/>
        <v>5</v>
      </c>
      <c r="D118" s="2">
        <f t="shared" ca="1" si="6"/>
        <v>11</v>
      </c>
      <c r="E118" s="2">
        <f t="shared" ca="1" si="7"/>
        <v>1</v>
      </c>
    </row>
    <row r="119" spans="1:5" x14ac:dyDescent="0.3">
      <c r="A119" s="3">
        <f t="shared" si="8"/>
        <v>117</v>
      </c>
      <c r="B119" s="3">
        <f t="shared" ca="1" si="9"/>
        <v>3</v>
      </c>
      <c r="C119" s="3">
        <f t="shared" ca="1" si="9"/>
        <v>1</v>
      </c>
      <c r="D119" s="2">
        <f t="shared" ca="1" si="6"/>
        <v>4</v>
      </c>
      <c r="E119" s="2">
        <f t="shared" ca="1" si="7"/>
        <v>0</v>
      </c>
    </row>
    <row r="120" spans="1:5" x14ac:dyDescent="0.3">
      <c r="A120" s="3">
        <f t="shared" si="8"/>
        <v>118</v>
      </c>
      <c r="B120" s="3">
        <f t="shared" ca="1" si="9"/>
        <v>5</v>
      </c>
      <c r="C120" s="3">
        <f t="shared" ca="1" si="9"/>
        <v>5</v>
      </c>
      <c r="D120" s="2">
        <f t="shared" ca="1" si="6"/>
        <v>10</v>
      </c>
      <c r="E120" s="2">
        <f t="shared" ca="1" si="7"/>
        <v>1</v>
      </c>
    </row>
    <row r="121" spans="1:5" x14ac:dyDescent="0.3">
      <c r="A121" s="3">
        <f t="shared" si="8"/>
        <v>119</v>
      </c>
      <c r="B121" s="3">
        <f t="shared" ca="1" si="9"/>
        <v>3</v>
      </c>
      <c r="C121" s="3">
        <f t="shared" ca="1" si="9"/>
        <v>4</v>
      </c>
      <c r="D121" s="2">
        <f t="shared" ca="1" si="6"/>
        <v>7</v>
      </c>
      <c r="E121" s="2">
        <f t="shared" ca="1" si="7"/>
        <v>0</v>
      </c>
    </row>
    <row r="122" spans="1:5" x14ac:dyDescent="0.3">
      <c r="A122" s="3">
        <f t="shared" si="8"/>
        <v>120</v>
      </c>
      <c r="B122" s="3">
        <f t="shared" ca="1" si="9"/>
        <v>2</v>
      </c>
      <c r="C122" s="3">
        <f t="shared" ca="1" si="9"/>
        <v>2</v>
      </c>
      <c r="D122" s="2">
        <f t="shared" ca="1" si="6"/>
        <v>4</v>
      </c>
      <c r="E122" s="2">
        <f t="shared" ca="1" si="7"/>
        <v>0</v>
      </c>
    </row>
    <row r="123" spans="1:5" x14ac:dyDescent="0.3">
      <c r="A123" s="3">
        <f t="shared" si="8"/>
        <v>121</v>
      </c>
      <c r="B123" s="3">
        <f t="shared" ca="1" si="9"/>
        <v>5</v>
      </c>
      <c r="C123" s="3">
        <f t="shared" ca="1" si="9"/>
        <v>6</v>
      </c>
      <c r="D123" s="2">
        <f t="shared" ca="1" si="6"/>
        <v>11</v>
      </c>
      <c r="E123" s="2">
        <f t="shared" ca="1" si="7"/>
        <v>1</v>
      </c>
    </row>
    <row r="124" spans="1:5" x14ac:dyDescent="0.3">
      <c r="A124" s="3">
        <f t="shared" si="8"/>
        <v>122</v>
      </c>
      <c r="B124" s="3">
        <f t="shared" ca="1" si="9"/>
        <v>2</v>
      </c>
      <c r="C124" s="3">
        <f t="shared" ca="1" si="9"/>
        <v>4</v>
      </c>
      <c r="D124" s="2">
        <f t="shared" ca="1" si="6"/>
        <v>6</v>
      </c>
      <c r="E124" s="2">
        <f t="shared" ca="1" si="7"/>
        <v>0</v>
      </c>
    </row>
    <row r="125" spans="1:5" x14ac:dyDescent="0.3">
      <c r="A125" s="3">
        <f t="shared" si="8"/>
        <v>123</v>
      </c>
      <c r="B125" s="3">
        <f t="shared" ca="1" si="9"/>
        <v>3</v>
      </c>
      <c r="C125" s="3">
        <f t="shared" ca="1" si="9"/>
        <v>6</v>
      </c>
      <c r="D125" s="2">
        <f t="shared" ca="1" si="6"/>
        <v>9</v>
      </c>
      <c r="E125" s="2">
        <f t="shared" ca="1" si="7"/>
        <v>1</v>
      </c>
    </row>
    <row r="126" spans="1:5" x14ac:dyDescent="0.3">
      <c r="A126" s="3">
        <f t="shared" si="8"/>
        <v>124</v>
      </c>
      <c r="B126" s="3">
        <f t="shared" ca="1" si="9"/>
        <v>1</v>
      </c>
      <c r="C126" s="3">
        <f t="shared" ca="1" si="9"/>
        <v>6</v>
      </c>
      <c r="D126" s="2">
        <f t="shared" ca="1" si="6"/>
        <v>7</v>
      </c>
      <c r="E126" s="2">
        <f t="shared" ca="1" si="7"/>
        <v>0</v>
      </c>
    </row>
    <row r="127" spans="1:5" x14ac:dyDescent="0.3">
      <c r="A127" s="3">
        <f t="shared" si="8"/>
        <v>125</v>
      </c>
      <c r="B127" s="3">
        <f t="shared" ca="1" si="9"/>
        <v>4</v>
      </c>
      <c r="C127" s="3">
        <f t="shared" ca="1" si="9"/>
        <v>6</v>
      </c>
      <c r="D127" s="2">
        <f t="shared" ca="1" si="6"/>
        <v>10</v>
      </c>
      <c r="E127" s="2">
        <f t="shared" ca="1" si="7"/>
        <v>1</v>
      </c>
    </row>
    <row r="128" spans="1:5" x14ac:dyDescent="0.3">
      <c r="A128" s="3">
        <f t="shared" si="8"/>
        <v>126</v>
      </c>
      <c r="B128" s="3">
        <f t="shared" ca="1" si="9"/>
        <v>1</v>
      </c>
      <c r="C128" s="3">
        <f t="shared" ca="1" si="9"/>
        <v>5</v>
      </c>
      <c r="D128" s="2">
        <f t="shared" ca="1" si="6"/>
        <v>6</v>
      </c>
      <c r="E128" s="2">
        <f t="shared" ca="1" si="7"/>
        <v>0</v>
      </c>
    </row>
    <row r="129" spans="1:5" x14ac:dyDescent="0.3">
      <c r="A129" s="3">
        <f t="shared" si="8"/>
        <v>127</v>
      </c>
      <c r="B129" s="3">
        <f t="shared" ca="1" si="9"/>
        <v>1</v>
      </c>
      <c r="C129" s="3">
        <f t="shared" ca="1" si="9"/>
        <v>1</v>
      </c>
      <c r="D129" s="2">
        <f t="shared" ca="1" si="6"/>
        <v>2</v>
      </c>
      <c r="E129" s="2">
        <f t="shared" ca="1" si="7"/>
        <v>0</v>
      </c>
    </row>
    <row r="130" spans="1:5" x14ac:dyDescent="0.3">
      <c r="A130" s="3">
        <f t="shared" si="8"/>
        <v>128</v>
      </c>
      <c r="B130" s="3">
        <f t="shared" ca="1" si="9"/>
        <v>4</v>
      </c>
      <c r="C130" s="3">
        <f t="shared" ca="1" si="9"/>
        <v>4</v>
      </c>
      <c r="D130" s="2">
        <f t="shared" ca="1" si="6"/>
        <v>8</v>
      </c>
      <c r="E130" s="2">
        <f t="shared" ca="1" si="7"/>
        <v>1</v>
      </c>
    </row>
    <row r="131" spans="1:5" x14ac:dyDescent="0.3">
      <c r="A131" s="3">
        <f t="shared" si="8"/>
        <v>129</v>
      </c>
      <c r="B131" s="3">
        <f t="shared" ca="1" si="9"/>
        <v>6</v>
      </c>
      <c r="C131" s="3">
        <f t="shared" ca="1" si="9"/>
        <v>6</v>
      </c>
      <c r="D131" s="2">
        <f t="shared" ca="1" si="6"/>
        <v>12</v>
      </c>
      <c r="E131" s="2">
        <f t="shared" ca="1" si="7"/>
        <v>1</v>
      </c>
    </row>
    <row r="132" spans="1:5" x14ac:dyDescent="0.3">
      <c r="A132" s="3">
        <f t="shared" si="8"/>
        <v>130</v>
      </c>
      <c r="B132" s="3">
        <f t="shared" ca="1" si="9"/>
        <v>3</v>
      </c>
      <c r="C132" s="3">
        <f t="shared" ca="1" si="9"/>
        <v>5</v>
      </c>
      <c r="D132" s="2">
        <f t="shared" ref="D132:D195" ca="1" si="10">C132+B132</f>
        <v>8</v>
      </c>
      <c r="E132" s="2">
        <f t="shared" ref="E132:E195" ca="1" si="11">IF(D132&gt;=8,1,0)</f>
        <v>1</v>
      </c>
    </row>
    <row r="133" spans="1:5" x14ac:dyDescent="0.3">
      <c r="A133" s="3">
        <f t="shared" ref="A133:A196" si="12">A132+1</f>
        <v>131</v>
      </c>
      <c r="B133" s="3">
        <f t="shared" ref="B133:C196" ca="1" si="13">RANDBETWEEN(1,6)</f>
        <v>5</v>
      </c>
      <c r="C133" s="3">
        <f t="shared" ca="1" si="13"/>
        <v>2</v>
      </c>
      <c r="D133" s="2">
        <f t="shared" ca="1" si="10"/>
        <v>7</v>
      </c>
      <c r="E133" s="2">
        <f t="shared" ca="1" si="11"/>
        <v>0</v>
      </c>
    </row>
    <row r="134" spans="1:5" x14ac:dyDescent="0.3">
      <c r="A134" s="3">
        <f t="shared" si="12"/>
        <v>132</v>
      </c>
      <c r="B134" s="3">
        <f t="shared" ca="1" si="13"/>
        <v>5</v>
      </c>
      <c r="C134" s="3">
        <f t="shared" ca="1" si="13"/>
        <v>5</v>
      </c>
      <c r="D134" s="2">
        <f t="shared" ca="1" si="10"/>
        <v>10</v>
      </c>
      <c r="E134" s="2">
        <f t="shared" ca="1" si="11"/>
        <v>1</v>
      </c>
    </row>
    <row r="135" spans="1:5" x14ac:dyDescent="0.3">
      <c r="A135" s="3">
        <f t="shared" si="12"/>
        <v>133</v>
      </c>
      <c r="B135" s="3">
        <f t="shared" ca="1" si="13"/>
        <v>5</v>
      </c>
      <c r="C135" s="3">
        <f t="shared" ca="1" si="13"/>
        <v>6</v>
      </c>
      <c r="D135" s="2">
        <f t="shared" ca="1" si="10"/>
        <v>11</v>
      </c>
      <c r="E135" s="2">
        <f t="shared" ca="1" si="11"/>
        <v>1</v>
      </c>
    </row>
    <row r="136" spans="1:5" x14ac:dyDescent="0.3">
      <c r="A136" s="3">
        <f t="shared" si="12"/>
        <v>134</v>
      </c>
      <c r="B136" s="3">
        <f t="shared" ca="1" si="13"/>
        <v>2</v>
      </c>
      <c r="C136" s="3">
        <f t="shared" ca="1" si="13"/>
        <v>2</v>
      </c>
      <c r="D136" s="2">
        <f t="shared" ca="1" si="10"/>
        <v>4</v>
      </c>
      <c r="E136" s="2">
        <f t="shared" ca="1" si="11"/>
        <v>0</v>
      </c>
    </row>
    <row r="137" spans="1:5" x14ac:dyDescent="0.3">
      <c r="A137" s="3">
        <f t="shared" si="12"/>
        <v>135</v>
      </c>
      <c r="B137" s="3">
        <f t="shared" ca="1" si="13"/>
        <v>1</v>
      </c>
      <c r="C137" s="3">
        <f t="shared" ca="1" si="13"/>
        <v>5</v>
      </c>
      <c r="D137" s="2">
        <f t="shared" ca="1" si="10"/>
        <v>6</v>
      </c>
      <c r="E137" s="2">
        <f t="shared" ca="1" si="11"/>
        <v>0</v>
      </c>
    </row>
    <row r="138" spans="1:5" x14ac:dyDescent="0.3">
      <c r="A138" s="3">
        <f t="shared" si="12"/>
        <v>136</v>
      </c>
      <c r="B138" s="3">
        <f t="shared" ca="1" si="13"/>
        <v>1</v>
      </c>
      <c r="C138" s="3">
        <f t="shared" ca="1" si="13"/>
        <v>3</v>
      </c>
      <c r="D138" s="2">
        <f t="shared" ca="1" si="10"/>
        <v>4</v>
      </c>
      <c r="E138" s="2">
        <f t="shared" ca="1" si="11"/>
        <v>0</v>
      </c>
    </row>
    <row r="139" spans="1:5" x14ac:dyDescent="0.3">
      <c r="A139" s="3">
        <f t="shared" si="12"/>
        <v>137</v>
      </c>
      <c r="B139" s="3">
        <f t="shared" ca="1" si="13"/>
        <v>1</v>
      </c>
      <c r="C139" s="3">
        <f t="shared" ca="1" si="13"/>
        <v>3</v>
      </c>
      <c r="D139" s="2">
        <f t="shared" ca="1" si="10"/>
        <v>4</v>
      </c>
      <c r="E139" s="2">
        <f t="shared" ca="1" si="11"/>
        <v>0</v>
      </c>
    </row>
    <row r="140" spans="1:5" x14ac:dyDescent="0.3">
      <c r="A140" s="3">
        <f t="shared" si="12"/>
        <v>138</v>
      </c>
      <c r="B140" s="3">
        <f t="shared" ca="1" si="13"/>
        <v>4</v>
      </c>
      <c r="C140" s="3">
        <f t="shared" ca="1" si="13"/>
        <v>2</v>
      </c>
      <c r="D140" s="2">
        <f t="shared" ca="1" si="10"/>
        <v>6</v>
      </c>
      <c r="E140" s="2">
        <f t="shared" ca="1" si="11"/>
        <v>0</v>
      </c>
    </row>
    <row r="141" spans="1:5" x14ac:dyDescent="0.3">
      <c r="A141" s="3">
        <f t="shared" si="12"/>
        <v>139</v>
      </c>
      <c r="B141" s="3">
        <f t="shared" ca="1" si="13"/>
        <v>4</v>
      </c>
      <c r="C141" s="3">
        <f t="shared" ca="1" si="13"/>
        <v>4</v>
      </c>
      <c r="D141" s="2">
        <f t="shared" ca="1" si="10"/>
        <v>8</v>
      </c>
      <c r="E141" s="2">
        <f t="shared" ca="1" si="11"/>
        <v>1</v>
      </c>
    </row>
    <row r="142" spans="1:5" x14ac:dyDescent="0.3">
      <c r="A142" s="3">
        <f t="shared" si="12"/>
        <v>140</v>
      </c>
      <c r="B142" s="3">
        <f t="shared" ca="1" si="13"/>
        <v>6</v>
      </c>
      <c r="C142" s="3">
        <f t="shared" ca="1" si="13"/>
        <v>5</v>
      </c>
      <c r="D142" s="2">
        <f t="shared" ca="1" si="10"/>
        <v>11</v>
      </c>
      <c r="E142" s="2">
        <f t="shared" ca="1" si="11"/>
        <v>1</v>
      </c>
    </row>
    <row r="143" spans="1:5" x14ac:dyDescent="0.3">
      <c r="A143" s="3">
        <f t="shared" si="12"/>
        <v>141</v>
      </c>
      <c r="B143" s="3">
        <f t="shared" ca="1" si="13"/>
        <v>1</v>
      </c>
      <c r="C143" s="3">
        <f t="shared" ca="1" si="13"/>
        <v>2</v>
      </c>
      <c r="D143" s="2">
        <f t="shared" ca="1" si="10"/>
        <v>3</v>
      </c>
      <c r="E143" s="2">
        <f t="shared" ca="1" si="11"/>
        <v>0</v>
      </c>
    </row>
    <row r="144" spans="1:5" x14ac:dyDescent="0.3">
      <c r="A144" s="3">
        <f t="shared" si="12"/>
        <v>142</v>
      </c>
      <c r="B144" s="3">
        <f t="shared" ca="1" si="13"/>
        <v>2</v>
      </c>
      <c r="C144" s="3">
        <f t="shared" ca="1" si="13"/>
        <v>5</v>
      </c>
      <c r="D144" s="2">
        <f t="shared" ca="1" si="10"/>
        <v>7</v>
      </c>
      <c r="E144" s="2">
        <f t="shared" ca="1" si="11"/>
        <v>0</v>
      </c>
    </row>
    <row r="145" spans="1:5" x14ac:dyDescent="0.3">
      <c r="A145" s="3">
        <f t="shared" si="12"/>
        <v>143</v>
      </c>
      <c r="B145" s="3">
        <f t="shared" ca="1" si="13"/>
        <v>6</v>
      </c>
      <c r="C145" s="3">
        <f t="shared" ca="1" si="13"/>
        <v>1</v>
      </c>
      <c r="D145" s="2">
        <f t="shared" ca="1" si="10"/>
        <v>7</v>
      </c>
      <c r="E145" s="2">
        <f t="shared" ca="1" si="11"/>
        <v>0</v>
      </c>
    </row>
    <row r="146" spans="1:5" x14ac:dyDescent="0.3">
      <c r="A146" s="3">
        <f t="shared" si="12"/>
        <v>144</v>
      </c>
      <c r="B146" s="3">
        <f t="shared" ca="1" si="13"/>
        <v>5</v>
      </c>
      <c r="C146" s="3">
        <f t="shared" ca="1" si="13"/>
        <v>5</v>
      </c>
      <c r="D146" s="2">
        <f t="shared" ca="1" si="10"/>
        <v>10</v>
      </c>
      <c r="E146" s="2">
        <f t="shared" ca="1" si="11"/>
        <v>1</v>
      </c>
    </row>
    <row r="147" spans="1:5" x14ac:dyDescent="0.3">
      <c r="A147" s="3">
        <f t="shared" si="12"/>
        <v>145</v>
      </c>
      <c r="B147" s="3">
        <f t="shared" ca="1" si="13"/>
        <v>6</v>
      </c>
      <c r="C147" s="3">
        <f t="shared" ca="1" si="13"/>
        <v>1</v>
      </c>
      <c r="D147" s="2">
        <f t="shared" ca="1" si="10"/>
        <v>7</v>
      </c>
      <c r="E147" s="2">
        <f t="shared" ca="1" si="11"/>
        <v>0</v>
      </c>
    </row>
    <row r="148" spans="1:5" x14ac:dyDescent="0.3">
      <c r="A148" s="3">
        <f t="shared" si="12"/>
        <v>146</v>
      </c>
      <c r="B148" s="3">
        <f t="shared" ca="1" si="13"/>
        <v>5</v>
      </c>
      <c r="C148" s="3">
        <f t="shared" ca="1" si="13"/>
        <v>1</v>
      </c>
      <c r="D148" s="2">
        <f t="shared" ca="1" si="10"/>
        <v>6</v>
      </c>
      <c r="E148" s="2">
        <f t="shared" ca="1" si="11"/>
        <v>0</v>
      </c>
    </row>
    <row r="149" spans="1:5" x14ac:dyDescent="0.3">
      <c r="A149" s="3">
        <f t="shared" si="12"/>
        <v>147</v>
      </c>
      <c r="B149" s="3">
        <f t="shared" ca="1" si="13"/>
        <v>4</v>
      </c>
      <c r="C149" s="3">
        <f t="shared" ca="1" si="13"/>
        <v>4</v>
      </c>
      <c r="D149" s="2">
        <f t="shared" ca="1" si="10"/>
        <v>8</v>
      </c>
      <c r="E149" s="2">
        <f t="shared" ca="1" si="11"/>
        <v>1</v>
      </c>
    </row>
    <row r="150" spans="1:5" x14ac:dyDescent="0.3">
      <c r="A150" s="3">
        <f t="shared" si="12"/>
        <v>148</v>
      </c>
      <c r="B150" s="3">
        <f t="shared" ca="1" si="13"/>
        <v>6</v>
      </c>
      <c r="C150" s="3">
        <f t="shared" ca="1" si="13"/>
        <v>2</v>
      </c>
      <c r="D150" s="2">
        <f t="shared" ca="1" si="10"/>
        <v>8</v>
      </c>
      <c r="E150" s="2">
        <f t="shared" ca="1" si="11"/>
        <v>1</v>
      </c>
    </row>
    <row r="151" spans="1:5" x14ac:dyDescent="0.3">
      <c r="A151" s="3">
        <f t="shared" si="12"/>
        <v>149</v>
      </c>
      <c r="B151" s="3">
        <f t="shared" ca="1" si="13"/>
        <v>6</v>
      </c>
      <c r="C151" s="3">
        <f t="shared" ca="1" si="13"/>
        <v>4</v>
      </c>
      <c r="D151" s="2">
        <f t="shared" ca="1" si="10"/>
        <v>10</v>
      </c>
      <c r="E151" s="2">
        <f t="shared" ca="1" si="11"/>
        <v>1</v>
      </c>
    </row>
    <row r="152" spans="1:5" x14ac:dyDescent="0.3">
      <c r="A152" s="3">
        <f t="shared" si="12"/>
        <v>150</v>
      </c>
      <c r="B152" s="3">
        <f t="shared" ca="1" si="13"/>
        <v>6</v>
      </c>
      <c r="C152" s="3">
        <f t="shared" ca="1" si="13"/>
        <v>4</v>
      </c>
      <c r="D152" s="2">
        <f t="shared" ca="1" si="10"/>
        <v>10</v>
      </c>
      <c r="E152" s="2">
        <f t="shared" ca="1" si="11"/>
        <v>1</v>
      </c>
    </row>
    <row r="153" spans="1:5" x14ac:dyDescent="0.3">
      <c r="A153" s="3">
        <f t="shared" si="12"/>
        <v>151</v>
      </c>
      <c r="B153" s="3">
        <f t="shared" ca="1" si="13"/>
        <v>2</v>
      </c>
      <c r="C153" s="3">
        <f t="shared" ca="1" si="13"/>
        <v>4</v>
      </c>
      <c r="D153" s="2">
        <f t="shared" ca="1" si="10"/>
        <v>6</v>
      </c>
      <c r="E153" s="2">
        <f t="shared" ca="1" si="11"/>
        <v>0</v>
      </c>
    </row>
    <row r="154" spans="1:5" x14ac:dyDescent="0.3">
      <c r="A154" s="3">
        <f t="shared" si="12"/>
        <v>152</v>
      </c>
      <c r="B154" s="3">
        <f t="shared" ca="1" si="13"/>
        <v>2</v>
      </c>
      <c r="C154" s="3">
        <f t="shared" ca="1" si="13"/>
        <v>1</v>
      </c>
      <c r="D154" s="2">
        <f t="shared" ca="1" si="10"/>
        <v>3</v>
      </c>
      <c r="E154" s="2">
        <f t="shared" ca="1" si="11"/>
        <v>0</v>
      </c>
    </row>
    <row r="155" spans="1:5" x14ac:dyDescent="0.3">
      <c r="A155" s="3">
        <f t="shared" si="12"/>
        <v>153</v>
      </c>
      <c r="B155" s="3">
        <f t="shared" ca="1" si="13"/>
        <v>6</v>
      </c>
      <c r="C155" s="3">
        <f t="shared" ca="1" si="13"/>
        <v>2</v>
      </c>
      <c r="D155" s="2">
        <f t="shared" ca="1" si="10"/>
        <v>8</v>
      </c>
      <c r="E155" s="2">
        <f t="shared" ca="1" si="11"/>
        <v>1</v>
      </c>
    </row>
    <row r="156" spans="1:5" x14ac:dyDescent="0.3">
      <c r="A156" s="3">
        <f t="shared" si="12"/>
        <v>154</v>
      </c>
      <c r="B156" s="3">
        <f t="shared" ca="1" si="13"/>
        <v>1</v>
      </c>
      <c r="C156" s="3">
        <f t="shared" ca="1" si="13"/>
        <v>1</v>
      </c>
      <c r="D156" s="2">
        <f t="shared" ca="1" si="10"/>
        <v>2</v>
      </c>
      <c r="E156" s="2">
        <f t="shared" ca="1" si="11"/>
        <v>0</v>
      </c>
    </row>
    <row r="157" spans="1:5" x14ac:dyDescent="0.3">
      <c r="A157" s="3">
        <f t="shared" si="12"/>
        <v>155</v>
      </c>
      <c r="B157" s="3">
        <f t="shared" ca="1" si="13"/>
        <v>2</v>
      </c>
      <c r="C157" s="3">
        <f t="shared" ca="1" si="13"/>
        <v>3</v>
      </c>
      <c r="D157" s="2">
        <f t="shared" ca="1" si="10"/>
        <v>5</v>
      </c>
      <c r="E157" s="2">
        <f t="shared" ca="1" si="11"/>
        <v>0</v>
      </c>
    </row>
    <row r="158" spans="1:5" x14ac:dyDescent="0.3">
      <c r="A158" s="3">
        <f t="shared" si="12"/>
        <v>156</v>
      </c>
      <c r="B158" s="3">
        <f t="shared" ca="1" si="13"/>
        <v>5</v>
      </c>
      <c r="C158" s="3">
        <f t="shared" ca="1" si="13"/>
        <v>1</v>
      </c>
      <c r="D158" s="2">
        <f t="shared" ca="1" si="10"/>
        <v>6</v>
      </c>
      <c r="E158" s="2">
        <f t="shared" ca="1" si="11"/>
        <v>0</v>
      </c>
    </row>
    <row r="159" spans="1:5" x14ac:dyDescent="0.3">
      <c r="A159" s="3">
        <f t="shared" si="12"/>
        <v>157</v>
      </c>
      <c r="B159" s="3">
        <f t="shared" ca="1" si="13"/>
        <v>1</v>
      </c>
      <c r="C159" s="3">
        <f t="shared" ca="1" si="13"/>
        <v>6</v>
      </c>
      <c r="D159" s="2">
        <f t="shared" ca="1" si="10"/>
        <v>7</v>
      </c>
      <c r="E159" s="2">
        <f t="shared" ca="1" si="11"/>
        <v>0</v>
      </c>
    </row>
    <row r="160" spans="1:5" x14ac:dyDescent="0.3">
      <c r="A160" s="3">
        <f t="shared" si="12"/>
        <v>158</v>
      </c>
      <c r="B160" s="3">
        <f t="shared" ca="1" si="13"/>
        <v>6</v>
      </c>
      <c r="C160" s="3">
        <f t="shared" ca="1" si="13"/>
        <v>6</v>
      </c>
      <c r="D160" s="2">
        <f t="shared" ca="1" si="10"/>
        <v>12</v>
      </c>
      <c r="E160" s="2">
        <f t="shared" ca="1" si="11"/>
        <v>1</v>
      </c>
    </row>
    <row r="161" spans="1:5" x14ac:dyDescent="0.3">
      <c r="A161" s="3">
        <f t="shared" si="12"/>
        <v>159</v>
      </c>
      <c r="B161" s="3">
        <f t="shared" ca="1" si="13"/>
        <v>2</v>
      </c>
      <c r="C161" s="3">
        <f t="shared" ca="1" si="13"/>
        <v>4</v>
      </c>
      <c r="D161" s="2">
        <f t="shared" ca="1" si="10"/>
        <v>6</v>
      </c>
      <c r="E161" s="2">
        <f t="shared" ca="1" si="11"/>
        <v>0</v>
      </c>
    </row>
    <row r="162" spans="1:5" x14ac:dyDescent="0.3">
      <c r="A162" s="3">
        <f t="shared" si="12"/>
        <v>160</v>
      </c>
      <c r="B162" s="3">
        <f t="shared" ca="1" si="13"/>
        <v>3</v>
      </c>
      <c r="C162" s="3">
        <f t="shared" ca="1" si="13"/>
        <v>3</v>
      </c>
      <c r="D162" s="2">
        <f t="shared" ca="1" si="10"/>
        <v>6</v>
      </c>
      <c r="E162" s="2">
        <f t="shared" ca="1" si="11"/>
        <v>0</v>
      </c>
    </row>
    <row r="163" spans="1:5" x14ac:dyDescent="0.3">
      <c r="A163" s="3">
        <f t="shared" si="12"/>
        <v>161</v>
      </c>
      <c r="B163" s="3">
        <f t="shared" ca="1" si="13"/>
        <v>2</v>
      </c>
      <c r="C163" s="3">
        <f t="shared" ca="1" si="13"/>
        <v>6</v>
      </c>
      <c r="D163" s="2">
        <f t="shared" ca="1" si="10"/>
        <v>8</v>
      </c>
      <c r="E163" s="2">
        <f t="shared" ca="1" si="11"/>
        <v>1</v>
      </c>
    </row>
    <row r="164" spans="1:5" x14ac:dyDescent="0.3">
      <c r="A164" s="3">
        <f t="shared" si="12"/>
        <v>162</v>
      </c>
      <c r="B164" s="3">
        <f t="shared" ca="1" si="13"/>
        <v>5</v>
      </c>
      <c r="C164" s="3">
        <f t="shared" ca="1" si="13"/>
        <v>1</v>
      </c>
      <c r="D164" s="2">
        <f t="shared" ca="1" si="10"/>
        <v>6</v>
      </c>
      <c r="E164" s="2">
        <f t="shared" ca="1" si="11"/>
        <v>0</v>
      </c>
    </row>
    <row r="165" spans="1:5" x14ac:dyDescent="0.3">
      <c r="A165" s="3">
        <f t="shared" si="12"/>
        <v>163</v>
      </c>
      <c r="B165" s="3">
        <f t="shared" ca="1" si="13"/>
        <v>5</v>
      </c>
      <c r="C165" s="3">
        <f t="shared" ca="1" si="13"/>
        <v>1</v>
      </c>
      <c r="D165" s="2">
        <f t="shared" ca="1" si="10"/>
        <v>6</v>
      </c>
      <c r="E165" s="2">
        <f t="shared" ca="1" si="11"/>
        <v>0</v>
      </c>
    </row>
    <row r="166" spans="1:5" x14ac:dyDescent="0.3">
      <c r="A166" s="3">
        <f t="shared" si="12"/>
        <v>164</v>
      </c>
      <c r="B166" s="3">
        <f t="shared" ca="1" si="13"/>
        <v>4</v>
      </c>
      <c r="C166" s="3">
        <f t="shared" ca="1" si="13"/>
        <v>1</v>
      </c>
      <c r="D166" s="2">
        <f t="shared" ca="1" si="10"/>
        <v>5</v>
      </c>
      <c r="E166" s="2">
        <f t="shared" ca="1" si="11"/>
        <v>0</v>
      </c>
    </row>
    <row r="167" spans="1:5" x14ac:dyDescent="0.3">
      <c r="A167" s="3">
        <f t="shared" si="12"/>
        <v>165</v>
      </c>
      <c r="B167" s="3">
        <f t="shared" ca="1" si="13"/>
        <v>2</v>
      </c>
      <c r="C167" s="3">
        <f t="shared" ca="1" si="13"/>
        <v>1</v>
      </c>
      <c r="D167" s="2">
        <f t="shared" ca="1" si="10"/>
        <v>3</v>
      </c>
      <c r="E167" s="2">
        <f t="shared" ca="1" si="11"/>
        <v>0</v>
      </c>
    </row>
    <row r="168" spans="1:5" x14ac:dyDescent="0.3">
      <c r="A168" s="3">
        <f t="shared" si="12"/>
        <v>166</v>
      </c>
      <c r="B168" s="3">
        <f t="shared" ca="1" si="13"/>
        <v>4</v>
      </c>
      <c r="C168" s="3">
        <f t="shared" ca="1" si="13"/>
        <v>3</v>
      </c>
      <c r="D168" s="2">
        <f t="shared" ca="1" si="10"/>
        <v>7</v>
      </c>
      <c r="E168" s="2">
        <f t="shared" ca="1" si="11"/>
        <v>0</v>
      </c>
    </row>
    <row r="169" spans="1:5" x14ac:dyDescent="0.3">
      <c r="A169" s="3">
        <f t="shared" si="12"/>
        <v>167</v>
      </c>
      <c r="B169" s="3">
        <f t="shared" ca="1" si="13"/>
        <v>4</v>
      </c>
      <c r="C169" s="3">
        <f t="shared" ca="1" si="13"/>
        <v>5</v>
      </c>
      <c r="D169" s="2">
        <f t="shared" ca="1" si="10"/>
        <v>9</v>
      </c>
      <c r="E169" s="2">
        <f t="shared" ca="1" si="11"/>
        <v>1</v>
      </c>
    </row>
    <row r="170" spans="1:5" x14ac:dyDescent="0.3">
      <c r="A170" s="3">
        <f t="shared" si="12"/>
        <v>168</v>
      </c>
      <c r="B170" s="3">
        <f t="shared" ca="1" si="13"/>
        <v>5</v>
      </c>
      <c r="C170" s="3">
        <f t="shared" ca="1" si="13"/>
        <v>5</v>
      </c>
      <c r="D170" s="2">
        <f t="shared" ca="1" si="10"/>
        <v>10</v>
      </c>
      <c r="E170" s="2">
        <f t="shared" ca="1" si="11"/>
        <v>1</v>
      </c>
    </row>
    <row r="171" spans="1:5" x14ac:dyDescent="0.3">
      <c r="A171" s="3">
        <f t="shared" si="12"/>
        <v>169</v>
      </c>
      <c r="B171" s="3">
        <f t="shared" ca="1" si="13"/>
        <v>2</v>
      </c>
      <c r="C171" s="3">
        <f t="shared" ca="1" si="13"/>
        <v>6</v>
      </c>
      <c r="D171" s="2">
        <f t="shared" ca="1" si="10"/>
        <v>8</v>
      </c>
      <c r="E171" s="2">
        <f t="shared" ca="1" si="11"/>
        <v>1</v>
      </c>
    </row>
    <row r="172" spans="1:5" x14ac:dyDescent="0.3">
      <c r="A172" s="3">
        <f t="shared" si="12"/>
        <v>170</v>
      </c>
      <c r="B172" s="3">
        <f t="shared" ca="1" si="13"/>
        <v>2</v>
      </c>
      <c r="C172" s="3">
        <f t="shared" ca="1" si="13"/>
        <v>1</v>
      </c>
      <c r="D172" s="2">
        <f t="shared" ca="1" si="10"/>
        <v>3</v>
      </c>
      <c r="E172" s="2">
        <f t="shared" ca="1" si="11"/>
        <v>0</v>
      </c>
    </row>
    <row r="173" spans="1:5" x14ac:dyDescent="0.3">
      <c r="A173" s="3">
        <f t="shared" si="12"/>
        <v>171</v>
      </c>
      <c r="B173" s="3">
        <f t="shared" ca="1" si="13"/>
        <v>2</v>
      </c>
      <c r="C173" s="3">
        <f t="shared" ca="1" si="13"/>
        <v>3</v>
      </c>
      <c r="D173" s="2">
        <f t="shared" ca="1" si="10"/>
        <v>5</v>
      </c>
      <c r="E173" s="2">
        <f t="shared" ca="1" si="11"/>
        <v>0</v>
      </c>
    </row>
    <row r="174" spans="1:5" x14ac:dyDescent="0.3">
      <c r="A174" s="3">
        <f t="shared" si="12"/>
        <v>172</v>
      </c>
      <c r="B174" s="3">
        <f t="shared" ca="1" si="13"/>
        <v>2</v>
      </c>
      <c r="C174" s="3">
        <f t="shared" ca="1" si="13"/>
        <v>5</v>
      </c>
      <c r="D174" s="2">
        <f t="shared" ca="1" si="10"/>
        <v>7</v>
      </c>
      <c r="E174" s="2">
        <f t="shared" ca="1" si="11"/>
        <v>0</v>
      </c>
    </row>
    <row r="175" spans="1:5" x14ac:dyDescent="0.3">
      <c r="A175" s="3">
        <f t="shared" si="12"/>
        <v>173</v>
      </c>
      <c r="B175" s="3">
        <f t="shared" ca="1" si="13"/>
        <v>6</v>
      </c>
      <c r="C175" s="3">
        <f t="shared" ca="1" si="13"/>
        <v>4</v>
      </c>
      <c r="D175" s="2">
        <f t="shared" ca="1" si="10"/>
        <v>10</v>
      </c>
      <c r="E175" s="2">
        <f t="shared" ca="1" si="11"/>
        <v>1</v>
      </c>
    </row>
    <row r="176" spans="1:5" x14ac:dyDescent="0.3">
      <c r="A176" s="3">
        <f t="shared" si="12"/>
        <v>174</v>
      </c>
      <c r="B176" s="3">
        <f t="shared" ca="1" si="13"/>
        <v>4</v>
      </c>
      <c r="C176" s="3">
        <f t="shared" ca="1" si="13"/>
        <v>6</v>
      </c>
      <c r="D176" s="2">
        <f t="shared" ca="1" si="10"/>
        <v>10</v>
      </c>
      <c r="E176" s="2">
        <f t="shared" ca="1" si="11"/>
        <v>1</v>
      </c>
    </row>
    <row r="177" spans="1:5" x14ac:dyDescent="0.3">
      <c r="A177" s="3">
        <f t="shared" si="12"/>
        <v>175</v>
      </c>
      <c r="B177" s="3">
        <f t="shared" ca="1" si="13"/>
        <v>5</v>
      </c>
      <c r="C177" s="3">
        <f t="shared" ca="1" si="13"/>
        <v>3</v>
      </c>
      <c r="D177" s="2">
        <f t="shared" ca="1" si="10"/>
        <v>8</v>
      </c>
      <c r="E177" s="2">
        <f t="shared" ca="1" si="11"/>
        <v>1</v>
      </c>
    </row>
    <row r="178" spans="1:5" x14ac:dyDescent="0.3">
      <c r="A178" s="3">
        <f t="shared" si="12"/>
        <v>176</v>
      </c>
      <c r="B178" s="3">
        <f t="shared" ca="1" si="13"/>
        <v>3</v>
      </c>
      <c r="C178" s="3">
        <f t="shared" ca="1" si="13"/>
        <v>2</v>
      </c>
      <c r="D178" s="2">
        <f t="shared" ca="1" si="10"/>
        <v>5</v>
      </c>
      <c r="E178" s="2">
        <f t="shared" ca="1" si="11"/>
        <v>0</v>
      </c>
    </row>
    <row r="179" spans="1:5" x14ac:dyDescent="0.3">
      <c r="A179" s="3">
        <f t="shared" si="12"/>
        <v>177</v>
      </c>
      <c r="B179" s="3">
        <f t="shared" ca="1" si="13"/>
        <v>6</v>
      </c>
      <c r="C179" s="3">
        <f t="shared" ca="1" si="13"/>
        <v>2</v>
      </c>
      <c r="D179" s="2">
        <f t="shared" ca="1" si="10"/>
        <v>8</v>
      </c>
      <c r="E179" s="2">
        <f t="shared" ca="1" si="11"/>
        <v>1</v>
      </c>
    </row>
    <row r="180" spans="1:5" x14ac:dyDescent="0.3">
      <c r="A180" s="3">
        <f t="shared" si="12"/>
        <v>178</v>
      </c>
      <c r="B180" s="3">
        <f t="shared" ca="1" si="13"/>
        <v>2</v>
      </c>
      <c r="C180" s="3">
        <f t="shared" ca="1" si="13"/>
        <v>3</v>
      </c>
      <c r="D180" s="2">
        <f t="shared" ca="1" si="10"/>
        <v>5</v>
      </c>
      <c r="E180" s="2">
        <f t="shared" ca="1" si="11"/>
        <v>0</v>
      </c>
    </row>
    <row r="181" spans="1:5" x14ac:dyDescent="0.3">
      <c r="A181" s="3">
        <f t="shared" si="12"/>
        <v>179</v>
      </c>
      <c r="B181" s="3">
        <f t="shared" ca="1" si="13"/>
        <v>5</v>
      </c>
      <c r="C181" s="3">
        <f t="shared" ca="1" si="13"/>
        <v>4</v>
      </c>
      <c r="D181" s="2">
        <f t="shared" ca="1" si="10"/>
        <v>9</v>
      </c>
      <c r="E181" s="2">
        <f t="shared" ca="1" si="11"/>
        <v>1</v>
      </c>
    </row>
    <row r="182" spans="1:5" x14ac:dyDescent="0.3">
      <c r="A182" s="3">
        <f t="shared" si="12"/>
        <v>180</v>
      </c>
      <c r="B182" s="3">
        <f t="shared" ca="1" si="13"/>
        <v>5</v>
      </c>
      <c r="C182" s="3">
        <f t="shared" ca="1" si="13"/>
        <v>1</v>
      </c>
      <c r="D182" s="2">
        <f t="shared" ca="1" si="10"/>
        <v>6</v>
      </c>
      <c r="E182" s="2">
        <f t="shared" ca="1" si="11"/>
        <v>0</v>
      </c>
    </row>
    <row r="183" spans="1:5" x14ac:dyDescent="0.3">
      <c r="A183" s="3">
        <f t="shared" si="12"/>
        <v>181</v>
      </c>
      <c r="B183" s="3">
        <f t="shared" ca="1" si="13"/>
        <v>6</v>
      </c>
      <c r="C183" s="3">
        <f t="shared" ca="1" si="13"/>
        <v>5</v>
      </c>
      <c r="D183" s="2">
        <f t="shared" ca="1" si="10"/>
        <v>11</v>
      </c>
      <c r="E183" s="2">
        <f t="shared" ca="1" si="11"/>
        <v>1</v>
      </c>
    </row>
    <row r="184" spans="1:5" x14ac:dyDescent="0.3">
      <c r="A184" s="3">
        <f t="shared" si="12"/>
        <v>182</v>
      </c>
      <c r="B184" s="3">
        <f t="shared" ca="1" si="13"/>
        <v>1</v>
      </c>
      <c r="C184" s="3">
        <f t="shared" ca="1" si="13"/>
        <v>6</v>
      </c>
      <c r="D184" s="2">
        <f t="shared" ca="1" si="10"/>
        <v>7</v>
      </c>
      <c r="E184" s="2">
        <f t="shared" ca="1" si="11"/>
        <v>0</v>
      </c>
    </row>
    <row r="185" spans="1:5" x14ac:dyDescent="0.3">
      <c r="A185" s="3">
        <f t="shared" si="12"/>
        <v>183</v>
      </c>
      <c r="B185" s="3">
        <f t="shared" ca="1" si="13"/>
        <v>4</v>
      </c>
      <c r="C185" s="3">
        <f t="shared" ca="1" si="13"/>
        <v>1</v>
      </c>
      <c r="D185" s="2">
        <f t="shared" ca="1" si="10"/>
        <v>5</v>
      </c>
      <c r="E185" s="2">
        <f t="shared" ca="1" si="11"/>
        <v>0</v>
      </c>
    </row>
    <row r="186" spans="1:5" x14ac:dyDescent="0.3">
      <c r="A186" s="3">
        <f t="shared" si="12"/>
        <v>184</v>
      </c>
      <c r="B186" s="3">
        <f t="shared" ca="1" si="13"/>
        <v>5</v>
      </c>
      <c r="C186" s="3">
        <f t="shared" ca="1" si="13"/>
        <v>1</v>
      </c>
      <c r="D186" s="2">
        <f t="shared" ca="1" si="10"/>
        <v>6</v>
      </c>
      <c r="E186" s="2">
        <f t="shared" ca="1" si="11"/>
        <v>0</v>
      </c>
    </row>
    <row r="187" spans="1:5" x14ac:dyDescent="0.3">
      <c r="A187" s="3">
        <f t="shared" si="12"/>
        <v>185</v>
      </c>
      <c r="B187" s="3">
        <f t="shared" ca="1" si="13"/>
        <v>5</v>
      </c>
      <c r="C187" s="3">
        <f t="shared" ca="1" si="13"/>
        <v>4</v>
      </c>
      <c r="D187" s="2">
        <f t="shared" ca="1" si="10"/>
        <v>9</v>
      </c>
      <c r="E187" s="2">
        <f t="shared" ca="1" si="11"/>
        <v>1</v>
      </c>
    </row>
    <row r="188" spans="1:5" x14ac:dyDescent="0.3">
      <c r="A188" s="3">
        <f t="shared" si="12"/>
        <v>186</v>
      </c>
      <c r="B188" s="3">
        <f t="shared" ca="1" si="13"/>
        <v>5</v>
      </c>
      <c r="C188" s="3">
        <f t="shared" ca="1" si="13"/>
        <v>4</v>
      </c>
      <c r="D188" s="2">
        <f t="shared" ca="1" si="10"/>
        <v>9</v>
      </c>
      <c r="E188" s="2">
        <f t="shared" ca="1" si="11"/>
        <v>1</v>
      </c>
    </row>
    <row r="189" spans="1:5" x14ac:dyDescent="0.3">
      <c r="A189" s="3">
        <f t="shared" si="12"/>
        <v>187</v>
      </c>
      <c r="B189" s="3">
        <f t="shared" ca="1" si="13"/>
        <v>2</v>
      </c>
      <c r="C189" s="3">
        <f t="shared" ca="1" si="13"/>
        <v>2</v>
      </c>
      <c r="D189" s="2">
        <f t="shared" ca="1" si="10"/>
        <v>4</v>
      </c>
      <c r="E189" s="2">
        <f t="shared" ca="1" si="11"/>
        <v>0</v>
      </c>
    </row>
    <row r="190" spans="1:5" x14ac:dyDescent="0.3">
      <c r="A190" s="3">
        <f t="shared" si="12"/>
        <v>188</v>
      </c>
      <c r="B190" s="3">
        <f t="shared" ca="1" si="13"/>
        <v>1</v>
      </c>
      <c r="C190" s="3">
        <f t="shared" ca="1" si="13"/>
        <v>5</v>
      </c>
      <c r="D190" s="2">
        <f t="shared" ca="1" si="10"/>
        <v>6</v>
      </c>
      <c r="E190" s="2">
        <f t="shared" ca="1" si="11"/>
        <v>0</v>
      </c>
    </row>
    <row r="191" spans="1:5" x14ac:dyDescent="0.3">
      <c r="A191" s="3">
        <f t="shared" si="12"/>
        <v>189</v>
      </c>
      <c r="B191" s="3">
        <f t="shared" ca="1" si="13"/>
        <v>4</v>
      </c>
      <c r="C191" s="3">
        <f t="shared" ca="1" si="13"/>
        <v>5</v>
      </c>
      <c r="D191" s="2">
        <f t="shared" ca="1" si="10"/>
        <v>9</v>
      </c>
      <c r="E191" s="2">
        <f t="shared" ca="1" si="11"/>
        <v>1</v>
      </c>
    </row>
    <row r="192" spans="1:5" x14ac:dyDescent="0.3">
      <c r="A192" s="3">
        <f t="shared" si="12"/>
        <v>190</v>
      </c>
      <c r="B192" s="3">
        <f t="shared" ca="1" si="13"/>
        <v>1</v>
      </c>
      <c r="C192" s="3">
        <f t="shared" ca="1" si="13"/>
        <v>3</v>
      </c>
      <c r="D192" s="2">
        <f t="shared" ca="1" si="10"/>
        <v>4</v>
      </c>
      <c r="E192" s="2">
        <f t="shared" ca="1" si="11"/>
        <v>0</v>
      </c>
    </row>
    <row r="193" spans="1:5" x14ac:dyDescent="0.3">
      <c r="A193" s="3">
        <f t="shared" si="12"/>
        <v>191</v>
      </c>
      <c r="B193" s="3">
        <f t="shared" ca="1" si="13"/>
        <v>2</v>
      </c>
      <c r="C193" s="3">
        <f t="shared" ca="1" si="13"/>
        <v>6</v>
      </c>
      <c r="D193" s="2">
        <f t="shared" ca="1" si="10"/>
        <v>8</v>
      </c>
      <c r="E193" s="2">
        <f t="shared" ca="1" si="11"/>
        <v>1</v>
      </c>
    </row>
    <row r="194" spans="1:5" x14ac:dyDescent="0.3">
      <c r="A194" s="3">
        <f t="shared" si="12"/>
        <v>192</v>
      </c>
      <c r="B194" s="3">
        <f t="shared" ca="1" si="13"/>
        <v>2</v>
      </c>
      <c r="C194" s="3">
        <f t="shared" ca="1" si="13"/>
        <v>4</v>
      </c>
      <c r="D194" s="2">
        <f t="shared" ca="1" si="10"/>
        <v>6</v>
      </c>
      <c r="E194" s="2">
        <f t="shared" ca="1" si="11"/>
        <v>0</v>
      </c>
    </row>
    <row r="195" spans="1:5" x14ac:dyDescent="0.3">
      <c r="A195" s="3">
        <f t="shared" si="12"/>
        <v>193</v>
      </c>
      <c r="B195" s="3">
        <f t="shared" ca="1" si="13"/>
        <v>3</v>
      </c>
      <c r="C195" s="3">
        <f t="shared" ca="1" si="13"/>
        <v>5</v>
      </c>
      <c r="D195" s="2">
        <f t="shared" ca="1" si="10"/>
        <v>8</v>
      </c>
      <c r="E195" s="2">
        <f t="shared" ca="1" si="11"/>
        <v>1</v>
      </c>
    </row>
    <row r="196" spans="1:5" x14ac:dyDescent="0.3">
      <c r="A196" s="3">
        <f t="shared" si="12"/>
        <v>194</v>
      </c>
      <c r="B196" s="3">
        <f t="shared" ca="1" si="13"/>
        <v>4</v>
      </c>
      <c r="C196" s="3">
        <f t="shared" ca="1" si="13"/>
        <v>2</v>
      </c>
      <c r="D196" s="2">
        <f t="shared" ref="D196:D259" ca="1" si="14">C196+B196</f>
        <v>6</v>
      </c>
      <c r="E196" s="2">
        <f t="shared" ref="E196:E259" ca="1" si="15">IF(D196&gt;=8,1,0)</f>
        <v>0</v>
      </c>
    </row>
    <row r="197" spans="1:5" x14ac:dyDescent="0.3">
      <c r="A197" s="3">
        <f t="shared" ref="A197:A260" si="16">A196+1</f>
        <v>195</v>
      </c>
      <c r="B197" s="3">
        <f t="shared" ref="B197:C260" ca="1" si="17">RANDBETWEEN(1,6)</f>
        <v>4</v>
      </c>
      <c r="C197" s="3">
        <f t="shared" ca="1" si="17"/>
        <v>4</v>
      </c>
      <c r="D197" s="2">
        <f t="shared" ca="1" si="14"/>
        <v>8</v>
      </c>
      <c r="E197" s="2">
        <f t="shared" ca="1" si="15"/>
        <v>1</v>
      </c>
    </row>
    <row r="198" spans="1:5" x14ac:dyDescent="0.3">
      <c r="A198" s="3">
        <f t="shared" si="16"/>
        <v>196</v>
      </c>
      <c r="B198" s="3">
        <f t="shared" ca="1" si="17"/>
        <v>5</v>
      </c>
      <c r="C198" s="3">
        <f t="shared" ca="1" si="17"/>
        <v>6</v>
      </c>
      <c r="D198" s="2">
        <f t="shared" ca="1" si="14"/>
        <v>11</v>
      </c>
      <c r="E198" s="2">
        <f t="shared" ca="1" si="15"/>
        <v>1</v>
      </c>
    </row>
    <row r="199" spans="1:5" x14ac:dyDescent="0.3">
      <c r="A199" s="3">
        <f t="shared" si="16"/>
        <v>197</v>
      </c>
      <c r="B199" s="3">
        <f t="shared" ca="1" si="17"/>
        <v>4</v>
      </c>
      <c r="C199" s="3">
        <f t="shared" ca="1" si="17"/>
        <v>1</v>
      </c>
      <c r="D199" s="2">
        <f t="shared" ca="1" si="14"/>
        <v>5</v>
      </c>
      <c r="E199" s="2">
        <f t="shared" ca="1" si="15"/>
        <v>0</v>
      </c>
    </row>
    <row r="200" spans="1:5" x14ac:dyDescent="0.3">
      <c r="A200" s="3">
        <f t="shared" si="16"/>
        <v>198</v>
      </c>
      <c r="B200" s="3">
        <f t="shared" ca="1" si="17"/>
        <v>6</v>
      </c>
      <c r="C200" s="3">
        <f t="shared" ca="1" si="17"/>
        <v>1</v>
      </c>
      <c r="D200" s="2">
        <f t="shared" ca="1" si="14"/>
        <v>7</v>
      </c>
      <c r="E200" s="2">
        <f t="shared" ca="1" si="15"/>
        <v>0</v>
      </c>
    </row>
    <row r="201" spans="1:5" x14ac:dyDescent="0.3">
      <c r="A201" s="3">
        <f t="shared" si="16"/>
        <v>199</v>
      </c>
      <c r="B201" s="3">
        <f t="shared" ca="1" si="17"/>
        <v>6</v>
      </c>
      <c r="C201" s="3">
        <f t="shared" ca="1" si="17"/>
        <v>4</v>
      </c>
      <c r="D201" s="2">
        <f t="shared" ca="1" si="14"/>
        <v>10</v>
      </c>
      <c r="E201" s="2">
        <f t="shared" ca="1" si="15"/>
        <v>1</v>
      </c>
    </row>
    <row r="202" spans="1:5" x14ac:dyDescent="0.3">
      <c r="A202" s="3">
        <f t="shared" si="16"/>
        <v>200</v>
      </c>
      <c r="B202" s="3">
        <f t="shared" ca="1" si="17"/>
        <v>6</v>
      </c>
      <c r="C202" s="3">
        <f t="shared" ca="1" si="17"/>
        <v>5</v>
      </c>
      <c r="D202" s="2">
        <f t="shared" ca="1" si="14"/>
        <v>11</v>
      </c>
      <c r="E202" s="2">
        <f t="shared" ca="1" si="15"/>
        <v>1</v>
      </c>
    </row>
    <row r="203" spans="1:5" x14ac:dyDescent="0.3">
      <c r="A203" s="3">
        <f t="shared" si="16"/>
        <v>201</v>
      </c>
      <c r="B203" s="3">
        <f t="shared" ca="1" si="17"/>
        <v>3</v>
      </c>
      <c r="C203" s="3">
        <f t="shared" ca="1" si="17"/>
        <v>6</v>
      </c>
      <c r="D203" s="2">
        <f t="shared" ca="1" si="14"/>
        <v>9</v>
      </c>
      <c r="E203" s="2">
        <f t="shared" ca="1" si="15"/>
        <v>1</v>
      </c>
    </row>
    <row r="204" spans="1:5" x14ac:dyDescent="0.3">
      <c r="A204" s="3">
        <f t="shared" si="16"/>
        <v>202</v>
      </c>
      <c r="B204" s="3">
        <f t="shared" ca="1" si="17"/>
        <v>4</v>
      </c>
      <c r="C204" s="3">
        <f t="shared" ca="1" si="17"/>
        <v>1</v>
      </c>
      <c r="D204" s="2">
        <f t="shared" ca="1" si="14"/>
        <v>5</v>
      </c>
      <c r="E204" s="2">
        <f t="shared" ca="1" si="15"/>
        <v>0</v>
      </c>
    </row>
    <row r="205" spans="1:5" x14ac:dyDescent="0.3">
      <c r="A205" s="3">
        <f t="shared" si="16"/>
        <v>203</v>
      </c>
      <c r="B205" s="3">
        <f t="shared" ca="1" si="17"/>
        <v>2</v>
      </c>
      <c r="C205" s="3">
        <f t="shared" ca="1" si="17"/>
        <v>5</v>
      </c>
      <c r="D205" s="2">
        <f t="shared" ca="1" si="14"/>
        <v>7</v>
      </c>
      <c r="E205" s="2">
        <f t="shared" ca="1" si="15"/>
        <v>0</v>
      </c>
    </row>
    <row r="206" spans="1:5" x14ac:dyDescent="0.3">
      <c r="A206" s="3">
        <f t="shared" si="16"/>
        <v>204</v>
      </c>
      <c r="B206" s="3">
        <f t="shared" ca="1" si="17"/>
        <v>6</v>
      </c>
      <c r="C206" s="3">
        <f t="shared" ca="1" si="17"/>
        <v>5</v>
      </c>
      <c r="D206" s="2">
        <f t="shared" ca="1" si="14"/>
        <v>11</v>
      </c>
      <c r="E206" s="2">
        <f t="shared" ca="1" si="15"/>
        <v>1</v>
      </c>
    </row>
    <row r="207" spans="1:5" x14ac:dyDescent="0.3">
      <c r="A207" s="3">
        <f t="shared" si="16"/>
        <v>205</v>
      </c>
      <c r="B207" s="3">
        <f t="shared" ca="1" si="17"/>
        <v>4</v>
      </c>
      <c r="C207" s="3">
        <f t="shared" ca="1" si="17"/>
        <v>5</v>
      </c>
      <c r="D207" s="2">
        <f t="shared" ca="1" si="14"/>
        <v>9</v>
      </c>
      <c r="E207" s="2">
        <f t="shared" ca="1" si="15"/>
        <v>1</v>
      </c>
    </row>
    <row r="208" spans="1:5" x14ac:dyDescent="0.3">
      <c r="A208" s="3">
        <f t="shared" si="16"/>
        <v>206</v>
      </c>
      <c r="B208" s="3">
        <f t="shared" ca="1" si="17"/>
        <v>4</v>
      </c>
      <c r="C208" s="3">
        <f t="shared" ca="1" si="17"/>
        <v>4</v>
      </c>
      <c r="D208" s="2">
        <f t="shared" ca="1" si="14"/>
        <v>8</v>
      </c>
      <c r="E208" s="2">
        <f t="shared" ca="1" si="15"/>
        <v>1</v>
      </c>
    </row>
    <row r="209" spans="1:5" x14ac:dyDescent="0.3">
      <c r="A209" s="3">
        <f t="shared" si="16"/>
        <v>207</v>
      </c>
      <c r="B209" s="3">
        <f t="shared" ca="1" si="17"/>
        <v>3</v>
      </c>
      <c r="C209" s="3">
        <f t="shared" ca="1" si="17"/>
        <v>3</v>
      </c>
      <c r="D209" s="2">
        <f t="shared" ca="1" si="14"/>
        <v>6</v>
      </c>
      <c r="E209" s="2">
        <f t="shared" ca="1" si="15"/>
        <v>0</v>
      </c>
    </row>
    <row r="210" spans="1:5" x14ac:dyDescent="0.3">
      <c r="A210" s="3">
        <f t="shared" si="16"/>
        <v>208</v>
      </c>
      <c r="B210" s="3">
        <f t="shared" ca="1" si="17"/>
        <v>2</v>
      </c>
      <c r="C210" s="3">
        <f t="shared" ca="1" si="17"/>
        <v>5</v>
      </c>
      <c r="D210" s="2">
        <f t="shared" ca="1" si="14"/>
        <v>7</v>
      </c>
      <c r="E210" s="2">
        <f t="shared" ca="1" si="15"/>
        <v>0</v>
      </c>
    </row>
    <row r="211" spans="1:5" x14ac:dyDescent="0.3">
      <c r="A211" s="3">
        <f t="shared" si="16"/>
        <v>209</v>
      </c>
      <c r="B211" s="3">
        <f t="shared" ca="1" si="17"/>
        <v>5</v>
      </c>
      <c r="C211" s="3">
        <f t="shared" ca="1" si="17"/>
        <v>5</v>
      </c>
      <c r="D211" s="2">
        <f t="shared" ca="1" si="14"/>
        <v>10</v>
      </c>
      <c r="E211" s="2">
        <f t="shared" ca="1" si="15"/>
        <v>1</v>
      </c>
    </row>
    <row r="212" spans="1:5" x14ac:dyDescent="0.3">
      <c r="A212" s="3">
        <f t="shared" si="16"/>
        <v>210</v>
      </c>
      <c r="B212" s="3">
        <f t="shared" ca="1" si="17"/>
        <v>1</v>
      </c>
      <c r="C212" s="3">
        <f t="shared" ca="1" si="17"/>
        <v>1</v>
      </c>
      <c r="D212" s="2">
        <f t="shared" ca="1" si="14"/>
        <v>2</v>
      </c>
      <c r="E212" s="2">
        <f t="shared" ca="1" si="15"/>
        <v>0</v>
      </c>
    </row>
    <row r="213" spans="1:5" x14ac:dyDescent="0.3">
      <c r="A213" s="3">
        <f t="shared" si="16"/>
        <v>211</v>
      </c>
      <c r="B213" s="3">
        <f t="shared" ca="1" si="17"/>
        <v>5</v>
      </c>
      <c r="C213" s="3">
        <f t="shared" ca="1" si="17"/>
        <v>4</v>
      </c>
      <c r="D213" s="2">
        <f t="shared" ca="1" si="14"/>
        <v>9</v>
      </c>
      <c r="E213" s="2">
        <f t="shared" ca="1" si="15"/>
        <v>1</v>
      </c>
    </row>
    <row r="214" spans="1:5" x14ac:dyDescent="0.3">
      <c r="A214" s="3">
        <f t="shared" si="16"/>
        <v>212</v>
      </c>
      <c r="B214" s="3">
        <f t="shared" ca="1" si="17"/>
        <v>2</v>
      </c>
      <c r="C214" s="3">
        <f t="shared" ca="1" si="17"/>
        <v>6</v>
      </c>
      <c r="D214" s="2">
        <f t="shared" ca="1" si="14"/>
        <v>8</v>
      </c>
      <c r="E214" s="2">
        <f t="shared" ca="1" si="15"/>
        <v>1</v>
      </c>
    </row>
    <row r="215" spans="1:5" x14ac:dyDescent="0.3">
      <c r="A215" s="3">
        <f t="shared" si="16"/>
        <v>213</v>
      </c>
      <c r="B215" s="3">
        <f t="shared" ca="1" si="17"/>
        <v>1</v>
      </c>
      <c r="C215" s="3">
        <f t="shared" ca="1" si="17"/>
        <v>1</v>
      </c>
      <c r="D215" s="2">
        <f t="shared" ca="1" si="14"/>
        <v>2</v>
      </c>
      <c r="E215" s="2">
        <f t="shared" ca="1" si="15"/>
        <v>0</v>
      </c>
    </row>
    <row r="216" spans="1:5" x14ac:dyDescent="0.3">
      <c r="A216" s="3">
        <f t="shared" si="16"/>
        <v>214</v>
      </c>
      <c r="B216" s="3">
        <f t="shared" ca="1" si="17"/>
        <v>1</v>
      </c>
      <c r="C216" s="3">
        <f t="shared" ca="1" si="17"/>
        <v>3</v>
      </c>
      <c r="D216" s="2">
        <f t="shared" ca="1" si="14"/>
        <v>4</v>
      </c>
      <c r="E216" s="2">
        <f t="shared" ca="1" si="15"/>
        <v>0</v>
      </c>
    </row>
    <row r="217" spans="1:5" x14ac:dyDescent="0.3">
      <c r="A217" s="3">
        <f t="shared" si="16"/>
        <v>215</v>
      </c>
      <c r="B217" s="3">
        <f t="shared" ca="1" si="17"/>
        <v>4</v>
      </c>
      <c r="C217" s="3">
        <f t="shared" ca="1" si="17"/>
        <v>5</v>
      </c>
      <c r="D217" s="2">
        <f t="shared" ca="1" si="14"/>
        <v>9</v>
      </c>
      <c r="E217" s="2">
        <f t="shared" ca="1" si="15"/>
        <v>1</v>
      </c>
    </row>
    <row r="218" spans="1:5" x14ac:dyDescent="0.3">
      <c r="A218" s="3">
        <f t="shared" si="16"/>
        <v>216</v>
      </c>
      <c r="B218" s="3">
        <f t="shared" ca="1" si="17"/>
        <v>6</v>
      </c>
      <c r="C218" s="3">
        <f t="shared" ca="1" si="17"/>
        <v>6</v>
      </c>
      <c r="D218" s="2">
        <f t="shared" ca="1" si="14"/>
        <v>12</v>
      </c>
      <c r="E218" s="2">
        <f t="shared" ca="1" si="15"/>
        <v>1</v>
      </c>
    </row>
    <row r="219" spans="1:5" x14ac:dyDescent="0.3">
      <c r="A219" s="3">
        <f t="shared" si="16"/>
        <v>217</v>
      </c>
      <c r="B219" s="3">
        <f t="shared" ca="1" si="17"/>
        <v>1</v>
      </c>
      <c r="C219" s="3">
        <f t="shared" ca="1" si="17"/>
        <v>5</v>
      </c>
      <c r="D219" s="2">
        <f t="shared" ca="1" si="14"/>
        <v>6</v>
      </c>
      <c r="E219" s="2">
        <f t="shared" ca="1" si="15"/>
        <v>0</v>
      </c>
    </row>
    <row r="220" spans="1:5" x14ac:dyDescent="0.3">
      <c r="A220" s="3">
        <f t="shared" si="16"/>
        <v>218</v>
      </c>
      <c r="B220" s="3">
        <f t="shared" ca="1" si="17"/>
        <v>4</v>
      </c>
      <c r="C220" s="3">
        <f t="shared" ca="1" si="17"/>
        <v>3</v>
      </c>
      <c r="D220" s="2">
        <f t="shared" ca="1" si="14"/>
        <v>7</v>
      </c>
      <c r="E220" s="2">
        <f t="shared" ca="1" si="15"/>
        <v>0</v>
      </c>
    </row>
    <row r="221" spans="1:5" x14ac:dyDescent="0.3">
      <c r="A221" s="3">
        <f t="shared" si="16"/>
        <v>219</v>
      </c>
      <c r="B221" s="3">
        <f t="shared" ca="1" si="17"/>
        <v>3</v>
      </c>
      <c r="C221" s="3">
        <f t="shared" ca="1" si="17"/>
        <v>6</v>
      </c>
      <c r="D221" s="2">
        <f t="shared" ca="1" si="14"/>
        <v>9</v>
      </c>
      <c r="E221" s="2">
        <f t="shared" ca="1" si="15"/>
        <v>1</v>
      </c>
    </row>
    <row r="222" spans="1:5" x14ac:dyDescent="0.3">
      <c r="A222" s="3">
        <f t="shared" si="16"/>
        <v>220</v>
      </c>
      <c r="B222" s="3">
        <f t="shared" ca="1" si="17"/>
        <v>1</v>
      </c>
      <c r="C222" s="3">
        <f t="shared" ca="1" si="17"/>
        <v>5</v>
      </c>
      <c r="D222" s="2">
        <f t="shared" ca="1" si="14"/>
        <v>6</v>
      </c>
      <c r="E222" s="2">
        <f t="shared" ca="1" si="15"/>
        <v>0</v>
      </c>
    </row>
    <row r="223" spans="1:5" x14ac:dyDescent="0.3">
      <c r="A223" s="3">
        <f t="shared" si="16"/>
        <v>221</v>
      </c>
      <c r="B223" s="3">
        <f t="shared" ca="1" si="17"/>
        <v>2</v>
      </c>
      <c r="C223" s="3">
        <f t="shared" ca="1" si="17"/>
        <v>1</v>
      </c>
      <c r="D223" s="2">
        <f t="shared" ca="1" si="14"/>
        <v>3</v>
      </c>
      <c r="E223" s="2">
        <f t="shared" ca="1" si="15"/>
        <v>0</v>
      </c>
    </row>
    <row r="224" spans="1:5" x14ac:dyDescent="0.3">
      <c r="A224" s="3">
        <f t="shared" si="16"/>
        <v>222</v>
      </c>
      <c r="B224" s="3">
        <f t="shared" ca="1" si="17"/>
        <v>4</v>
      </c>
      <c r="C224" s="3">
        <f t="shared" ca="1" si="17"/>
        <v>3</v>
      </c>
      <c r="D224" s="2">
        <f t="shared" ca="1" si="14"/>
        <v>7</v>
      </c>
      <c r="E224" s="2">
        <f t="shared" ca="1" si="15"/>
        <v>0</v>
      </c>
    </row>
    <row r="225" spans="1:5" x14ac:dyDescent="0.3">
      <c r="A225" s="3">
        <f t="shared" si="16"/>
        <v>223</v>
      </c>
      <c r="B225" s="3">
        <f t="shared" ca="1" si="17"/>
        <v>6</v>
      </c>
      <c r="C225" s="3">
        <f t="shared" ca="1" si="17"/>
        <v>4</v>
      </c>
      <c r="D225" s="2">
        <f t="shared" ca="1" si="14"/>
        <v>10</v>
      </c>
      <c r="E225" s="2">
        <f t="shared" ca="1" si="15"/>
        <v>1</v>
      </c>
    </row>
    <row r="226" spans="1:5" x14ac:dyDescent="0.3">
      <c r="A226" s="3">
        <f t="shared" si="16"/>
        <v>224</v>
      </c>
      <c r="B226" s="3">
        <f t="shared" ca="1" si="17"/>
        <v>4</v>
      </c>
      <c r="C226" s="3">
        <f t="shared" ca="1" si="17"/>
        <v>4</v>
      </c>
      <c r="D226" s="2">
        <f t="shared" ca="1" si="14"/>
        <v>8</v>
      </c>
      <c r="E226" s="2">
        <f t="shared" ca="1" si="15"/>
        <v>1</v>
      </c>
    </row>
    <row r="227" spans="1:5" x14ac:dyDescent="0.3">
      <c r="A227" s="3">
        <f t="shared" si="16"/>
        <v>225</v>
      </c>
      <c r="B227" s="3">
        <f t="shared" ca="1" si="17"/>
        <v>5</v>
      </c>
      <c r="C227" s="3">
        <f t="shared" ca="1" si="17"/>
        <v>1</v>
      </c>
      <c r="D227" s="2">
        <f t="shared" ca="1" si="14"/>
        <v>6</v>
      </c>
      <c r="E227" s="2">
        <f t="shared" ca="1" si="15"/>
        <v>0</v>
      </c>
    </row>
    <row r="228" spans="1:5" x14ac:dyDescent="0.3">
      <c r="A228" s="3">
        <f t="shared" si="16"/>
        <v>226</v>
      </c>
      <c r="B228" s="3">
        <f t="shared" ca="1" si="17"/>
        <v>6</v>
      </c>
      <c r="C228" s="3">
        <f t="shared" ca="1" si="17"/>
        <v>6</v>
      </c>
      <c r="D228" s="2">
        <f t="shared" ca="1" si="14"/>
        <v>12</v>
      </c>
      <c r="E228" s="2">
        <f t="shared" ca="1" si="15"/>
        <v>1</v>
      </c>
    </row>
    <row r="229" spans="1:5" x14ac:dyDescent="0.3">
      <c r="A229" s="3">
        <f t="shared" si="16"/>
        <v>227</v>
      </c>
      <c r="B229" s="3">
        <f t="shared" ca="1" si="17"/>
        <v>4</v>
      </c>
      <c r="C229" s="3">
        <f t="shared" ca="1" si="17"/>
        <v>2</v>
      </c>
      <c r="D229" s="2">
        <f t="shared" ca="1" si="14"/>
        <v>6</v>
      </c>
      <c r="E229" s="2">
        <f t="shared" ca="1" si="15"/>
        <v>0</v>
      </c>
    </row>
    <row r="230" spans="1:5" x14ac:dyDescent="0.3">
      <c r="A230" s="3">
        <f t="shared" si="16"/>
        <v>228</v>
      </c>
      <c r="B230" s="3">
        <f t="shared" ca="1" si="17"/>
        <v>5</v>
      </c>
      <c r="C230" s="3">
        <f t="shared" ca="1" si="17"/>
        <v>5</v>
      </c>
      <c r="D230" s="2">
        <f t="shared" ca="1" si="14"/>
        <v>10</v>
      </c>
      <c r="E230" s="2">
        <f t="shared" ca="1" si="15"/>
        <v>1</v>
      </c>
    </row>
    <row r="231" spans="1:5" x14ac:dyDescent="0.3">
      <c r="A231" s="3">
        <f t="shared" si="16"/>
        <v>229</v>
      </c>
      <c r="B231" s="3">
        <f t="shared" ca="1" si="17"/>
        <v>1</v>
      </c>
      <c r="C231" s="3">
        <f t="shared" ca="1" si="17"/>
        <v>2</v>
      </c>
      <c r="D231" s="2">
        <f t="shared" ca="1" si="14"/>
        <v>3</v>
      </c>
      <c r="E231" s="2">
        <f t="shared" ca="1" si="15"/>
        <v>0</v>
      </c>
    </row>
    <row r="232" spans="1:5" x14ac:dyDescent="0.3">
      <c r="A232" s="3">
        <f t="shared" si="16"/>
        <v>230</v>
      </c>
      <c r="B232" s="3">
        <f t="shared" ca="1" si="17"/>
        <v>5</v>
      </c>
      <c r="C232" s="3">
        <f t="shared" ca="1" si="17"/>
        <v>6</v>
      </c>
      <c r="D232" s="2">
        <f t="shared" ca="1" si="14"/>
        <v>11</v>
      </c>
      <c r="E232" s="2">
        <f t="shared" ca="1" si="15"/>
        <v>1</v>
      </c>
    </row>
    <row r="233" spans="1:5" x14ac:dyDescent="0.3">
      <c r="A233" s="3">
        <f t="shared" si="16"/>
        <v>231</v>
      </c>
      <c r="B233" s="3">
        <f t="shared" ca="1" si="17"/>
        <v>3</v>
      </c>
      <c r="C233" s="3">
        <f t="shared" ca="1" si="17"/>
        <v>4</v>
      </c>
      <c r="D233" s="2">
        <f t="shared" ca="1" si="14"/>
        <v>7</v>
      </c>
      <c r="E233" s="2">
        <f t="shared" ca="1" si="15"/>
        <v>0</v>
      </c>
    </row>
    <row r="234" spans="1:5" x14ac:dyDescent="0.3">
      <c r="A234" s="3">
        <f t="shared" si="16"/>
        <v>232</v>
      </c>
      <c r="B234" s="3">
        <f t="shared" ca="1" si="17"/>
        <v>6</v>
      </c>
      <c r="C234" s="3">
        <f t="shared" ca="1" si="17"/>
        <v>6</v>
      </c>
      <c r="D234" s="2">
        <f t="shared" ca="1" si="14"/>
        <v>12</v>
      </c>
      <c r="E234" s="2">
        <f t="shared" ca="1" si="15"/>
        <v>1</v>
      </c>
    </row>
    <row r="235" spans="1:5" x14ac:dyDescent="0.3">
      <c r="A235" s="3">
        <f t="shared" si="16"/>
        <v>233</v>
      </c>
      <c r="B235" s="3">
        <f t="shared" ca="1" si="17"/>
        <v>6</v>
      </c>
      <c r="C235" s="3">
        <f t="shared" ca="1" si="17"/>
        <v>5</v>
      </c>
      <c r="D235" s="2">
        <f t="shared" ca="1" si="14"/>
        <v>11</v>
      </c>
      <c r="E235" s="2">
        <f t="shared" ca="1" si="15"/>
        <v>1</v>
      </c>
    </row>
    <row r="236" spans="1:5" x14ac:dyDescent="0.3">
      <c r="A236" s="3">
        <f t="shared" si="16"/>
        <v>234</v>
      </c>
      <c r="B236" s="3">
        <f t="shared" ca="1" si="17"/>
        <v>1</v>
      </c>
      <c r="C236" s="3">
        <f t="shared" ca="1" si="17"/>
        <v>1</v>
      </c>
      <c r="D236" s="2">
        <f t="shared" ca="1" si="14"/>
        <v>2</v>
      </c>
      <c r="E236" s="2">
        <f t="shared" ca="1" si="15"/>
        <v>0</v>
      </c>
    </row>
    <row r="237" spans="1:5" x14ac:dyDescent="0.3">
      <c r="A237" s="3">
        <f t="shared" si="16"/>
        <v>235</v>
      </c>
      <c r="B237" s="3">
        <f t="shared" ca="1" si="17"/>
        <v>2</v>
      </c>
      <c r="C237" s="3">
        <f t="shared" ca="1" si="17"/>
        <v>5</v>
      </c>
      <c r="D237" s="2">
        <f t="shared" ca="1" si="14"/>
        <v>7</v>
      </c>
      <c r="E237" s="2">
        <f t="shared" ca="1" si="15"/>
        <v>0</v>
      </c>
    </row>
    <row r="238" spans="1:5" x14ac:dyDescent="0.3">
      <c r="A238" s="3">
        <f t="shared" si="16"/>
        <v>236</v>
      </c>
      <c r="B238" s="3">
        <f t="shared" ca="1" si="17"/>
        <v>2</v>
      </c>
      <c r="C238" s="3">
        <f t="shared" ca="1" si="17"/>
        <v>3</v>
      </c>
      <c r="D238" s="2">
        <f t="shared" ca="1" si="14"/>
        <v>5</v>
      </c>
      <c r="E238" s="2">
        <f t="shared" ca="1" si="15"/>
        <v>0</v>
      </c>
    </row>
    <row r="239" spans="1:5" x14ac:dyDescent="0.3">
      <c r="A239" s="3">
        <f t="shared" si="16"/>
        <v>237</v>
      </c>
      <c r="B239" s="3">
        <f t="shared" ca="1" si="17"/>
        <v>5</v>
      </c>
      <c r="C239" s="3">
        <f t="shared" ca="1" si="17"/>
        <v>2</v>
      </c>
      <c r="D239" s="2">
        <f t="shared" ca="1" si="14"/>
        <v>7</v>
      </c>
      <c r="E239" s="2">
        <f t="shared" ca="1" si="15"/>
        <v>0</v>
      </c>
    </row>
    <row r="240" spans="1:5" x14ac:dyDescent="0.3">
      <c r="A240" s="3">
        <f t="shared" si="16"/>
        <v>238</v>
      </c>
      <c r="B240" s="3">
        <f t="shared" ca="1" si="17"/>
        <v>2</v>
      </c>
      <c r="C240" s="3">
        <f t="shared" ca="1" si="17"/>
        <v>4</v>
      </c>
      <c r="D240" s="2">
        <f t="shared" ca="1" si="14"/>
        <v>6</v>
      </c>
      <c r="E240" s="2">
        <f t="shared" ca="1" si="15"/>
        <v>0</v>
      </c>
    </row>
    <row r="241" spans="1:5" x14ac:dyDescent="0.3">
      <c r="A241" s="3">
        <f t="shared" si="16"/>
        <v>239</v>
      </c>
      <c r="B241" s="3">
        <f t="shared" ca="1" si="17"/>
        <v>2</v>
      </c>
      <c r="C241" s="3">
        <f t="shared" ca="1" si="17"/>
        <v>6</v>
      </c>
      <c r="D241" s="2">
        <f t="shared" ca="1" si="14"/>
        <v>8</v>
      </c>
      <c r="E241" s="2">
        <f t="shared" ca="1" si="15"/>
        <v>1</v>
      </c>
    </row>
    <row r="242" spans="1:5" x14ac:dyDescent="0.3">
      <c r="A242" s="3">
        <f t="shared" si="16"/>
        <v>240</v>
      </c>
      <c r="B242" s="3">
        <f t="shared" ca="1" si="17"/>
        <v>6</v>
      </c>
      <c r="C242" s="3">
        <f t="shared" ca="1" si="17"/>
        <v>5</v>
      </c>
      <c r="D242" s="2">
        <f t="shared" ca="1" si="14"/>
        <v>11</v>
      </c>
      <c r="E242" s="2">
        <f t="shared" ca="1" si="15"/>
        <v>1</v>
      </c>
    </row>
    <row r="243" spans="1:5" x14ac:dyDescent="0.3">
      <c r="A243" s="3">
        <f t="shared" si="16"/>
        <v>241</v>
      </c>
      <c r="B243" s="3">
        <f t="shared" ca="1" si="17"/>
        <v>5</v>
      </c>
      <c r="C243" s="3">
        <f t="shared" ca="1" si="17"/>
        <v>4</v>
      </c>
      <c r="D243" s="2">
        <f t="shared" ca="1" si="14"/>
        <v>9</v>
      </c>
      <c r="E243" s="2">
        <f t="shared" ca="1" si="15"/>
        <v>1</v>
      </c>
    </row>
    <row r="244" spans="1:5" x14ac:dyDescent="0.3">
      <c r="A244" s="3">
        <f t="shared" si="16"/>
        <v>242</v>
      </c>
      <c r="B244" s="3">
        <f t="shared" ca="1" si="17"/>
        <v>3</v>
      </c>
      <c r="C244" s="3">
        <f t="shared" ca="1" si="17"/>
        <v>6</v>
      </c>
      <c r="D244" s="2">
        <f t="shared" ca="1" si="14"/>
        <v>9</v>
      </c>
      <c r="E244" s="2">
        <f t="shared" ca="1" si="15"/>
        <v>1</v>
      </c>
    </row>
    <row r="245" spans="1:5" x14ac:dyDescent="0.3">
      <c r="A245" s="3">
        <f t="shared" si="16"/>
        <v>243</v>
      </c>
      <c r="B245" s="3">
        <f t="shared" ca="1" si="17"/>
        <v>3</v>
      </c>
      <c r="C245" s="3">
        <f t="shared" ca="1" si="17"/>
        <v>2</v>
      </c>
      <c r="D245" s="2">
        <f t="shared" ca="1" si="14"/>
        <v>5</v>
      </c>
      <c r="E245" s="2">
        <f t="shared" ca="1" si="15"/>
        <v>0</v>
      </c>
    </row>
    <row r="246" spans="1:5" x14ac:dyDescent="0.3">
      <c r="A246" s="3">
        <f t="shared" si="16"/>
        <v>244</v>
      </c>
      <c r="B246" s="3">
        <f t="shared" ca="1" si="17"/>
        <v>4</v>
      </c>
      <c r="C246" s="3">
        <f t="shared" ca="1" si="17"/>
        <v>1</v>
      </c>
      <c r="D246" s="2">
        <f t="shared" ca="1" si="14"/>
        <v>5</v>
      </c>
      <c r="E246" s="2">
        <f t="shared" ca="1" si="15"/>
        <v>0</v>
      </c>
    </row>
    <row r="247" spans="1:5" x14ac:dyDescent="0.3">
      <c r="A247" s="3">
        <f t="shared" si="16"/>
        <v>245</v>
      </c>
      <c r="B247" s="3">
        <f t="shared" ca="1" si="17"/>
        <v>5</v>
      </c>
      <c r="C247" s="3">
        <f t="shared" ca="1" si="17"/>
        <v>5</v>
      </c>
      <c r="D247" s="2">
        <f t="shared" ca="1" si="14"/>
        <v>10</v>
      </c>
      <c r="E247" s="2">
        <f t="shared" ca="1" si="15"/>
        <v>1</v>
      </c>
    </row>
    <row r="248" spans="1:5" x14ac:dyDescent="0.3">
      <c r="A248" s="3">
        <f t="shared" si="16"/>
        <v>246</v>
      </c>
      <c r="B248" s="3">
        <f t="shared" ca="1" si="17"/>
        <v>6</v>
      </c>
      <c r="C248" s="3">
        <f t="shared" ca="1" si="17"/>
        <v>1</v>
      </c>
      <c r="D248" s="2">
        <f t="shared" ca="1" si="14"/>
        <v>7</v>
      </c>
      <c r="E248" s="2">
        <f t="shared" ca="1" si="15"/>
        <v>0</v>
      </c>
    </row>
    <row r="249" spans="1:5" x14ac:dyDescent="0.3">
      <c r="A249" s="3">
        <f t="shared" si="16"/>
        <v>247</v>
      </c>
      <c r="B249" s="3">
        <f t="shared" ca="1" si="17"/>
        <v>5</v>
      </c>
      <c r="C249" s="3">
        <f t="shared" ca="1" si="17"/>
        <v>4</v>
      </c>
      <c r="D249" s="2">
        <f t="shared" ca="1" si="14"/>
        <v>9</v>
      </c>
      <c r="E249" s="2">
        <f t="shared" ca="1" si="15"/>
        <v>1</v>
      </c>
    </row>
    <row r="250" spans="1:5" x14ac:dyDescent="0.3">
      <c r="A250" s="3">
        <f t="shared" si="16"/>
        <v>248</v>
      </c>
      <c r="B250" s="3">
        <f t="shared" ca="1" si="17"/>
        <v>4</v>
      </c>
      <c r="C250" s="3">
        <f t="shared" ca="1" si="17"/>
        <v>6</v>
      </c>
      <c r="D250" s="2">
        <f t="shared" ca="1" si="14"/>
        <v>10</v>
      </c>
      <c r="E250" s="2">
        <f t="shared" ca="1" si="15"/>
        <v>1</v>
      </c>
    </row>
    <row r="251" spans="1:5" x14ac:dyDescent="0.3">
      <c r="A251" s="3">
        <f t="shared" si="16"/>
        <v>249</v>
      </c>
      <c r="B251" s="3">
        <f t="shared" ca="1" si="17"/>
        <v>4</v>
      </c>
      <c r="C251" s="3">
        <f t="shared" ca="1" si="17"/>
        <v>6</v>
      </c>
      <c r="D251" s="2">
        <f t="shared" ca="1" si="14"/>
        <v>10</v>
      </c>
      <c r="E251" s="2">
        <f t="shared" ca="1" si="15"/>
        <v>1</v>
      </c>
    </row>
    <row r="252" spans="1:5" x14ac:dyDescent="0.3">
      <c r="A252" s="3">
        <f t="shared" si="16"/>
        <v>250</v>
      </c>
      <c r="B252" s="3">
        <f t="shared" ca="1" si="17"/>
        <v>6</v>
      </c>
      <c r="C252" s="3">
        <f t="shared" ca="1" si="17"/>
        <v>6</v>
      </c>
      <c r="D252" s="2">
        <f t="shared" ca="1" si="14"/>
        <v>12</v>
      </c>
      <c r="E252" s="2">
        <f t="shared" ca="1" si="15"/>
        <v>1</v>
      </c>
    </row>
    <row r="253" spans="1:5" x14ac:dyDescent="0.3">
      <c r="A253" s="3">
        <f t="shared" si="16"/>
        <v>251</v>
      </c>
      <c r="B253" s="3">
        <f t="shared" ca="1" si="17"/>
        <v>4</v>
      </c>
      <c r="C253" s="3">
        <f t="shared" ca="1" si="17"/>
        <v>1</v>
      </c>
      <c r="D253" s="2">
        <f t="shared" ca="1" si="14"/>
        <v>5</v>
      </c>
      <c r="E253" s="2">
        <f t="shared" ca="1" si="15"/>
        <v>0</v>
      </c>
    </row>
    <row r="254" spans="1:5" x14ac:dyDescent="0.3">
      <c r="A254" s="3">
        <f t="shared" si="16"/>
        <v>252</v>
      </c>
      <c r="B254" s="3">
        <f t="shared" ca="1" si="17"/>
        <v>5</v>
      </c>
      <c r="C254" s="3">
        <f t="shared" ca="1" si="17"/>
        <v>2</v>
      </c>
      <c r="D254" s="2">
        <f t="shared" ca="1" si="14"/>
        <v>7</v>
      </c>
      <c r="E254" s="2">
        <f t="shared" ca="1" si="15"/>
        <v>0</v>
      </c>
    </row>
    <row r="255" spans="1:5" x14ac:dyDescent="0.3">
      <c r="A255" s="3">
        <f t="shared" si="16"/>
        <v>253</v>
      </c>
      <c r="B255" s="3">
        <f t="shared" ca="1" si="17"/>
        <v>3</v>
      </c>
      <c r="C255" s="3">
        <f t="shared" ca="1" si="17"/>
        <v>3</v>
      </c>
      <c r="D255" s="2">
        <f t="shared" ca="1" si="14"/>
        <v>6</v>
      </c>
      <c r="E255" s="2">
        <f t="shared" ca="1" si="15"/>
        <v>0</v>
      </c>
    </row>
    <row r="256" spans="1:5" x14ac:dyDescent="0.3">
      <c r="A256" s="3">
        <f t="shared" si="16"/>
        <v>254</v>
      </c>
      <c r="B256" s="3">
        <f t="shared" ca="1" si="17"/>
        <v>2</v>
      </c>
      <c r="C256" s="3">
        <f t="shared" ca="1" si="17"/>
        <v>6</v>
      </c>
      <c r="D256" s="2">
        <f t="shared" ca="1" si="14"/>
        <v>8</v>
      </c>
      <c r="E256" s="2">
        <f t="shared" ca="1" si="15"/>
        <v>1</v>
      </c>
    </row>
    <row r="257" spans="1:5" x14ac:dyDescent="0.3">
      <c r="A257" s="3">
        <f t="shared" si="16"/>
        <v>255</v>
      </c>
      <c r="B257" s="3">
        <f t="shared" ca="1" si="17"/>
        <v>1</v>
      </c>
      <c r="C257" s="3">
        <f t="shared" ca="1" si="17"/>
        <v>6</v>
      </c>
      <c r="D257" s="2">
        <f t="shared" ca="1" si="14"/>
        <v>7</v>
      </c>
      <c r="E257" s="2">
        <f t="shared" ca="1" si="15"/>
        <v>0</v>
      </c>
    </row>
    <row r="258" spans="1:5" x14ac:dyDescent="0.3">
      <c r="A258" s="3">
        <f t="shared" si="16"/>
        <v>256</v>
      </c>
      <c r="B258" s="3">
        <f t="shared" ca="1" si="17"/>
        <v>3</v>
      </c>
      <c r="C258" s="3">
        <f t="shared" ca="1" si="17"/>
        <v>1</v>
      </c>
      <c r="D258" s="2">
        <f t="shared" ca="1" si="14"/>
        <v>4</v>
      </c>
      <c r="E258" s="2">
        <f t="shared" ca="1" si="15"/>
        <v>0</v>
      </c>
    </row>
    <row r="259" spans="1:5" x14ac:dyDescent="0.3">
      <c r="A259" s="3">
        <f t="shared" si="16"/>
        <v>257</v>
      </c>
      <c r="B259" s="3">
        <f t="shared" ca="1" si="17"/>
        <v>3</v>
      </c>
      <c r="C259" s="3">
        <f t="shared" ca="1" si="17"/>
        <v>2</v>
      </c>
      <c r="D259" s="2">
        <f t="shared" ca="1" si="14"/>
        <v>5</v>
      </c>
      <c r="E259" s="2">
        <f t="shared" ca="1" si="15"/>
        <v>0</v>
      </c>
    </row>
    <row r="260" spans="1:5" x14ac:dyDescent="0.3">
      <c r="A260" s="3">
        <f t="shared" si="16"/>
        <v>258</v>
      </c>
      <c r="B260" s="3">
        <f t="shared" ca="1" si="17"/>
        <v>5</v>
      </c>
      <c r="C260" s="3">
        <f t="shared" ca="1" si="17"/>
        <v>5</v>
      </c>
      <c r="D260" s="2">
        <f t="shared" ref="D260:D323" ca="1" si="18">C260+B260</f>
        <v>10</v>
      </c>
      <c r="E260" s="2">
        <f t="shared" ref="E260:E323" ca="1" si="19">IF(D260&gt;=8,1,0)</f>
        <v>1</v>
      </c>
    </row>
    <row r="261" spans="1:5" x14ac:dyDescent="0.3">
      <c r="A261" s="3">
        <f t="shared" ref="A261:A324" si="20">A260+1</f>
        <v>259</v>
      </c>
      <c r="B261" s="3">
        <f t="shared" ref="B261:C324" ca="1" si="21">RANDBETWEEN(1,6)</f>
        <v>5</v>
      </c>
      <c r="C261" s="3">
        <f t="shared" ca="1" si="21"/>
        <v>5</v>
      </c>
      <c r="D261" s="2">
        <f t="shared" ca="1" si="18"/>
        <v>10</v>
      </c>
      <c r="E261" s="2">
        <f t="shared" ca="1" si="19"/>
        <v>1</v>
      </c>
    </row>
    <row r="262" spans="1:5" x14ac:dyDescent="0.3">
      <c r="A262" s="3">
        <f t="shared" si="20"/>
        <v>260</v>
      </c>
      <c r="B262" s="3">
        <f t="shared" ca="1" si="21"/>
        <v>2</v>
      </c>
      <c r="C262" s="3">
        <f t="shared" ca="1" si="21"/>
        <v>5</v>
      </c>
      <c r="D262" s="2">
        <f t="shared" ca="1" si="18"/>
        <v>7</v>
      </c>
      <c r="E262" s="2">
        <f t="shared" ca="1" si="19"/>
        <v>0</v>
      </c>
    </row>
    <row r="263" spans="1:5" x14ac:dyDescent="0.3">
      <c r="A263" s="3">
        <f t="shared" si="20"/>
        <v>261</v>
      </c>
      <c r="B263" s="3">
        <f t="shared" ca="1" si="21"/>
        <v>6</v>
      </c>
      <c r="C263" s="3">
        <f t="shared" ca="1" si="21"/>
        <v>5</v>
      </c>
      <c r="D263" s="2">
        <f t="shared" ca="1" si="18"/>
        <v>11</v>
      </c>
      <c r="E263" s="2">
        <f t="shared" ca="1" si="19"/>
        <v>1</v>
      </c>
    </row>
    <row r="264" spans="1:5" x14ac:dyDescent="0.3">
      <c r="A264" s="3">
        <f t="shared" si="20"/>
        <v>262</v>
      </c>
      <c r="B264" s="3">
        <f t="shared" ca="1" si="21"/>
        <v>5</v>
      </c>
      <c r="C264" s="3">
        <f t="shared" ca="1" si="21"/>
        <v>4</v>
      </c>
      <c r="D264" s="2">
        <f t="shared" ca="1" si="18"/>
        <v>9</v>
      </c>
      <c r="E264" s="2">
        <f t="shared" ca="1" si="19"/>
        <v>1</v>
      </c>
    </row>
    <row r="265" spans="1:5" x14ac:dyDescent="0.3">
      <c r="A265" s="3">
        <f t="shared" si="20"/>
        <v>263</v>
      </c>
      <c r="B265" s="3">
        <f t="shared" ca="1" si="21"/>
        <v>5</v>
      </c>
      <c r="C265" s="3">
        <f t="shared" ca="1" si="21"/>
        <v>4</v>
      </c>
      <c r="D265" s="2">
        <f t="shared" ca="1" si="18"/>
        <v>9</v>
      </c>
      <c r="E265" s="2">
        <f t="shared" ca="1" si="19"/>
        <v>1</v>
      </c>
    </row>
    <row r="266" spans="1:5" x14ac:dyDescent="0.3">
      <c r="A266" s="3">
        <f t="shared" si="20"/>
        <v>264</v>
      </c>
      <c r="B266" s="3">
        <f t="shared" ca="1" si="21"/>
        <v>5</v>
      </c>
      <c r="C266" s="3">
        <f t="shared" ca="1" si="21"/>
        <v>5</v>
      </c>
      <c r="D266" s="2">
        <f t="shared" ca="1" si="18"/>
        <v>10</v>
      </c>
      <c r="E266" s="2">
        <f t="shared" ca="1" si="19"/>
        <v>1</v>
      </c>
    </row>
    <row r="267" spans="1:5" x14ac:dyDescent="0.3">
      <c r="A267" s="3">
        <f t="shared" si="20"/>
        <v>265</v>
      </c>
      <c r="B267" s="3">
        <f t="shared" ca="1" si="21"/>
        <v>5</v>
      </c>
      <c r="C267" s="3">
        <f t="shared" ca="1" si="21"/>
        <v>3</v>
      </c>
      <c r="D267" s="2">
        <f t="shared" ca="1" si="18"/>
        <v>8</v>
      </c>
      <c r="E267" s="2">
        <f t="shared" ca="1" si="19"/>
        <v>1</v>
      </c>
    </row>
    <row r="268" spans="1:5" x14ac:dyDescent="0.3">
      <c r="A268" s="3">
        <f t="shared" si="20"/>
        <v>266</v>
      </c>
      <c r="B268" s="3">
        <f t="shared" ca="1" si="21"/>
        <v>3</v>
      </c>
      <c r="C268" s="3">
        <f t="shared" ca="1" si="21"/>
        <v>1</v>
      </c>
      <c r="D268" s="2">
        <f t="shared" ca="1" si="18"/>
        <v>4</v>
      </c>
      <c r="E268" s="2">
        <f t="shared" ca="1" si="19"/>
        <v>0</v>
      </c>
    </row>
    <row r="269" spans="1:5" x14ac:dyDescent="0.3">
      <c r="A269" s="3">
        <f t="shared" si="20"/>
        <v>267</v>
      </c>
      <c r="B269" s="3">
        <f t="shared" ca="1" si="21"/>
        <v>2</v>
      </c>
      <c r="C269" s="3">
        <f t="shared" ca="1" si="21"/>
        <v>5</v>
      </c>
      <c r="D269" s="2">
        <f t="shared" ca="1" si="18"/>
        <v>7</v>
      </c>
      <c r="E269" s="2">
        <f t="shared" ca="1" si="19"/>
        <v>0</v>
      </c>
    </row>
    <row r="270" spans="1:5" x14ac:dyDescent="0.3">
      <c r="A270" s="3">
        <f t="shared" si="20"/>
        <v>268</v>
      </c>
      <c r="B270" s="3">
        <f t="shared" ca="1" si="21"/>
        <v>6</v>
      </c>
      <c r="C270" s="3">
        <f t="shared" ca="1" si="21"/>
        <v>1</v>
      </c>
      <c r="D270" s="2">
        <f t="shared" ca="1" si="18"/>
        <v>7</v>
      </c>
      <c r="E270" s="2">
        <f t="shared" ca="1" si="19"/>
        <v>0</v>
      </c>
    </row>
    <row r="271" spans="1:5" x14ac:dyDescent="0.3">
      <c r="A271" s="3">
        <f t="shared" si="20"/>
        <v>269</v>
      </c>
      <c r="B271" s="3">
        <f t="shared" ca="1" si="21"/>
        <v>6</v>
      </c>
      <c r="C271" s="3">
        <f t="shared" ca="1" si="21"/>
        <v>2</v>
      </c>
      <c r="D271" s="2">
        <f t="shared" ca="1" si="18"/>
        <v>8</v>
      </c>
      <c r="E271" s="2">
        <f t="shared" ca="1" si="19"/>
        <v>1</v>
      </c>
    </row>
    <row r="272" spans="1:5" x14ac:dyDescent="0.3">
      <c r="A272" s="3">
        <f t="shared" si="20"/>
        <v>270</v>
      </c>
      <c r="B272" s="3">
        <f t="shared" ca="1" si="21"/>
        <v>3</v>
      </c>
      <c r="C272" s="3">
        <f t="shared" ca="1" si="21"/>
        <v>6</v>
      </c>
      <c r="D272" s="2">
        <f t="shared" ca="1" si="18"/>
        <v>9</v>
      </c>
      <c r="E272" s="2">
        <f t="shared" ca="1" si="19"/>
        <v>1</v>
      </c>
    </row>
    <row r="273" spans="1:5" x14ac:dyDescent="0.3">
      <c r="A273" s="3">
        <f t="shared" si="20"/>
        <v>271</v>
      </c>
      <c r="B273" s="3">
        <f t="shared" ca="1" si="21"/>
        <v>1</v>
      </c>
      <c r="C273" s="3">
        <f t="shared" ca="1" si="21"/>
        <v>2</v>
      </c>
      <c r="D273" s="2">
        <f t="shared" ca="1" si="18"/>
        <v>3</v>
      </c>
      <c r="E273" s="2">
        <f t="shared" ca="1" si="19"/>
        <v>0</v>
      </c>
    </row>
    <row r="274" spans="1:5" x14ac:dyDescent="0.3">
      <c r="A274" s="3">
        <f t="shared" si="20"/>
        <v>272</v>
      </c>
      <c r="B274" s="3">
        <f t="shared" ca="1" si="21"/>
        <v>3</v>
      </c>
      <c r="C274" s="3">
        <f t="shared" ca="1" si="21"/>
        <v>5</v>
      </c>
      <c r="D274" s="2">
        <f t="shared" ca="1" si="18"/>
        <v>8</v>
      </c>
      <c r="E274" s="2">
        <f t="shared" ca="1" si="19"/>
        <v>1</v>
      </c>
    </row>
    <row r="275" spans="1:5" x14ac:dyDescent="0.3">
      <c r="A275" s="3">
        <f t="shared" si="20"/>
        <v>273</v>
      </c>
      <c r="B275" s="3">
        <f t="shared" ca="1" si="21"/>
        <v>6</v>
      </c>
      <c r="C275" s="3">
        <f t="shared" ca="1" si="21"/>
        <v>2</v>
      </c>
      <c r="D275" s="2">
        <f t="shared" ca="1" si="18"/>
        <v>8</v>
      </c>
      <c r="E275" s="2">
        <f t="shared" ca="1" si="19"/>
        <v>1</v>
      </c>
    </row>
    <row r="276" spans="1:5" x14ac:dyDescent="0.3">
      <c r="A276" s="3">
        <f t="shared" si="20"/>
        <v>274</v>
      </c>
      <c r="B276" s="3">
        <f t="shared" ca="1" si="21"/>
        <v>2</v>
      </c>
      <c r="C276" s="3">
        <f t="shared" ca="1" si="21"/>
        <v>5</v>
      </c>
      <c r="D276" s="2">
        <f t="shared" ca="1" si="18"/>
        <v>7</v>
      </c>
      <c r="E276" s="2">
        <f t="shared" ca="1" si="19"/>
        <v>0</v>
      </c>
    </row>
    <row r="277" spans="1:5" x14ac:dyDescent="0.3">
      <c r="A277" s="3">
        <f t="shared" si="20"/>
        <v>275</v>
      </c>
      <c r="B277" s="3">
        <f t="shared" ca="1" si="21"/>
        <v>6</v>
      </c>
      <c r="C277" s="3">
        <f t="shared" ca="1" si="21"/>
        <v>1</v>
      </c>
      <c r="D277" s="2">
        <f t="shared" ca="1" si="18"/>
        <v>7</v>
      </c>
      <c r="E277" s="2">
        <f t="shared" ca="1" si="19"/>
        <v>0</v>
      </c>
    </row>
    <row r="278" spans="1:5" x14ac:dyDescent="0.3">
      <c r="A278" s="3">
        <f t="shared" si="20"/>
        <v>276</v>
      </c>
      <c r="B278" s="3">
        <f t="shared" ca="1" si="21"/>
        <v>4</v>
      </c>
      <c r="C278" s="3">
        <f t="shared" ca="1" si="21"/>
        <v>5</v>
      </c>
      <c r="D278" s="2">
        <f t="shared" ca="1" si="18"/>
        <v>9</v>
      </c>
      <c r="E278" s="2">
        <f t="shared" ca="1" si="19"/>
        <v>1</v>
      </c>
    </row>
    <row r="279" spans="1:5" x14ac:dyDescent="0.3">
      <c r="A279" s="3">
        <f t="shared" si="20"/>
        <v>277</v>
      </c>
      <c r="B279" s="3">
        <f t="shared" ca="1" si="21"/>
        <v>3</v>
      </c>
      <c r="C279" s="3">
        <f t="shared" ca="1" si="21"/>
        <v>5</v>
      </c>
      <c r="D279" s="2">
        <f t="shared" ca="1" si="18"/>
        <v>8</v>
      </c>
      <c r="E279" s="2">
        <f t="shared" ca="1" si="19"/>
        <v>1</v>
      </c>
    </row>
    <row r="280" spans="1:5" x14ac:dyDescent="0.3">
      <c r="A280" s="3">
        <f t="shared" si="20"/>
        <v>278</v>
      </c>
      <c r="B280" s="3">
        <f t="shared" ca="1" si="21"/>
        <v>6</v>
      </c>
      <c r="C280" s="3">
        <f t="shared" ca="1" si="21"/>
        <v>5</v>
      </c>
      <c r="D280" s="2">
        <f t="shared" ca="1" si="18"/>
        <v>11</v>
      </c>
      <c r="E280" s="2">
        <f t="shared" ca="1" si="19"/>
        <v>1</v>
      </c>
    </row>
    <row r="281" spans="1:5" x14ac:dyDescent="0.3">
      <c r="A281" s="3">
        <f t="shared" si="20"/>
        <v>279</v>
      </c>
      <c r="B281" s="3">
        <f t="shared" ca="1" si="21"/>
        <v>6</v>
      </c>
      <c r="C281" s="3">
        <f t="shared" ca="1" si="21"/>
        <v>6</v>
      </c>
      <c r="D281" s="2">
        <f t="shared" ca="1" si="18"/>
        <v>12</v>
      </c>
      <c r="E281" s="2">
        <f t="shared" ca="1" si="19"/>
        <v>1</v>
      </c>
    </row>
    <row r="282" spans="1:5" x14ac:dyDescent="0.3">
      <c r="A282" s="3">
        <f t="shared" si="20"/>
        <v>280</v>
      </c>
      <c r="B282" s="3">
        <f t="shared" ca="1" si="21"/>
        <v>6</v>
      </c>
      <c r="C282" s="3">
        <f t="shared" ca="1" si="21"/>
        <v>2</v>
      </c>
      <c r="D282" s="2">
        <f t="shared" ca="1" si="18"/>
        <v>8</v>
      </c>
      <c r="E282" s="2">
        <f t="shared" ca="1" si="19"/>
        <v>1</v>
      </c>
    </row>
    <row r="283" spans="1:5" x14ac:dyDescent="0.3">
      <c r="A283" s="3">
        <f t="shared" si="20"/>
        <v>281</v>
      </c>
      <c r="B283" s="3">
        <f t="shared" ca="1" si="21"/>
        <v>4</v>
      </c>
      <c r="C283" s="3">
        <f t="shared" ca="1" si="21"/>
        <v>5</v>
      </c>
      <c r="D283" s="2">
        <f t="shared" ca="1" si="18"/>
        <v>9</v>
      </c>
      <c r="E283" s="2">
        <f t="shared" ca="1" si="19"/>
        <v>1</v>
      </c>
    </row>
    <row r="284" spans="1:5" x14ac:dyDescent="0.3">
      <c r="A284" s="3">
        <f t="shared" si="20"/>
        <v>282</v>
      </c>
      <c r="B284" s="3">
        <f t="shared" ca="1" si="21"/>
        <v>4</v>
      </c>
      <c r="C284" s="3">
        <f t="shared" ca="1" si="21"/>
        <v>2</v>
      </c>
      <c r="D284" s="2">
        <f t="shared" ca="1" si="18"/>
        <v>6</v>
      </c>
      <c r="E284" s="2">
        <f t="shared" ca="1" si="19"/>
        <v>0</v>
      </c>
    </row>
    <row r="285" spans="1:5" x14ac:dyDescent="0.3">
      <c r="A285" s="3">
        <f t="shared" si="20"/>
        <v>283</v>
      </c>
      <c r="B285" s="3">
        <f t="shared" ca="1" si="21"/>
        <v>3</v>
      </c>
      <c r="C285" s="3">
        <f t="shared" ca="1" si="21"/>
        <v>4</v>
      </c>
      <c r="D285" s="2">
        <f t="shared" ca="1" si="18"/>
        <v>7</v>
      </c>
      <c r="E285" s="2">
        <f t="shared" ca="1" si="19"/>
        <v>0</v>
      </c>
    </row>
    <row r="286" spans="1:5" x14ac:dyDescent="0.3">
      <c r="A286" s="3">
        <f t="shared" si="20"/>
        <v>284</v>
      </c>
      <c r="B286" s="3">
        <f t="shared" ca="1" si="21"/>
        <v>2</v>
      </c>
      <c r="C286" s="3">
        <f t="shared" ca="1" si="21"/>
        <v>3</v>
      </c>
      <c r="D286" s="2">
        <f t="shared" ca="1" si="18"/>
        <v>5</v>
      </c>
      <c r="E286" s="2">
        <f t="shared" ca="1" si="19"/>
        <v>0</v>
      </c>
    </row>
    <row r="287" spans="1:5" x14ac:dyDescent="0.3">
      <c r="A287" s="3">
        <f t="shared" si="20"/>
        <v>285</v>
      </c>
      <c r="B287" s="3">
        <f t="shared" ca="1" si="21"/>
        <v>5</v>
      </c>
      <c r="C287" s="3">
        <f t="shared" ca="1" si="21"/>
        <v>2</v>
      </c>
      <c r="D287" s="2">
        <f t="shared" ca="1" si="18"/>
        <v>7</v>
      </c>
      <c r="E287" s="2">
        <f t="shared" ca="1" si="19"/>
        <v>0</v>
      </c>
    </row>
    <row r="288" spans="1:5" x14ac:dyDescent="0.3">
      <c r="A288" s="3">
        <f t="shared" si="20"/>
        <v>286</v>
      </c>
      <c r="B288" s="3">
        <f t="shared" ca="1" si="21"/>
        <v>2</v>
      </c>
      <c r="C288" s="3">
        <f t="shared" ca="1" si="21"/>
        <v>1</v>
      </c>
      <c r="D288" s="2">
        <f t="shared" ca="1" si="18"/>
        <v>3</v>
      </c>
      <c r="E288" s="2">
        <f t="shared" ca="1" si="19"/>
        <v>0</v>
      </c>
    </row>
    <row r="289" spans="1:5" x14ac:dyDescent="0.3">
      <c r="A289" s="3">
        <f t="shared" si="20"/>
        <v>287</v>
      </c>
      <c r="B289" s="3">
        <f t="shared" ca="1" si="21"/>
        <v>3</v>
      </c>
      <c r="C289" s="3">
        <f t="shared" ca="1" si="21"/>
        <v>5</v>
      </c>
      <c r="D289" s="2">
        <f t="shared" ca="1" si="18"/>
        <v>8</v>
      </c>
      <c r="E289" s="2">
        <f t="shared" ca="1" si="19"/>
        <v>1</v>
      </c>
    </row>
    <row r="290" spans="1:5" x14ac:dyDescent="0.3">
      <c r="A290" s="3">
        <f t="shared" si="20"/>
        <v>288</v>
      </c>
      <c r="B290" s="3">
        <f t="shared" ca="1" si="21"/>
        <v>6</v>
      </c>
      <c r="C290" s="3">
        <f t="shared" ca="1" si="21"/>
        <v>1</v>
      </c>
      <c r="D290" s="2">
        <f t="shared" ca="1" si="18"/>
        <v>7</v>
      </c>
      <c r="E290" s="2">
        <f t="shared" ca="1" si="19"/>
        <v>0</v>
      </c>
    </row>
    <row r="291" spans="1:5" x14ac:dyDescent="0.3">
      <c r="A291" s="3">
        <f t="shared" si="20"/>
        <v>289</v>
      </c>
      <c r="B291" s="3">
        <f t="shared" ca="1" si="21"/>
        <v>4</v>
      </c>
      <c r="C291" s="3">
        <f t="shared" ca="1" si="21"/>
        <v>3</v>
      </c>
      <c r="D291" s="2">
        <f t="shared" ca="1" si="18"/>
        <v>7</v>
      </c>
      <c r="E291" s="2">
        <f t="shared" ca="1" si="19"/>
        <v>0</v>
      </c>
    </row>
    <row r="292" spans="1:5" x14ac:dyDescent="0.3">
      <c r="A292" s="3">
        <f t="shared" si="20"/>
        <v>290</v>
      </c>
      <c r="B292" s="3">
        <f t="shared" ca="1" si="21"/>
        <v>4</v>
      </c>
      <c r="C292" s="3">
        <f t="shared" ca="1" si="21"/>
        <v>1</v>
      </c>
      <c r="D292" s="2">
        <f t="shared" ca="1" si="18"/>
        <v>5</v>
      </c>
      <c r="E292" s="2">
        <f t="shared" ca="1" si="19"/>
        <v>0</v>
      </c>
    </row>
    <row r="293" spans="1:5" x14ac:dyDescent="0.3">
      <c r="A293" s="3">
        <f t="shared" si="20"/>
        <v>291</v>
      </c>
      <c r="B293" s="3">
        <f t="shared" ca="1" si="21"/>
        <v>1</v>
      </c>
      <c r="C293" s="3">
        <f t="shared" ca="1" si="21"/>
        <v>6</v>
      </c>
      <c r="D293" s="2">
        <f t="shared" ca="1" si="18"/>
        <v>7</v>
      </c>
      <c r="E293" s="2">
        <f t="shared" ca="1" si="19"/>
        <v>0</v>
      </c>
    </row>
    <row r="294" spans="1:5" x14ac:dyDescent="0.3">
      <c r="A294" s="3">
        <f t="shared" si="20"/>
        <v>292</v>
      </c>
      <c r="B294" s="3">
        <f t="shared" ca="1" si="21"/>
        <v>4</v>
      </c>
      <c r="C294" s="3">
        <f t="shared" ca="1" si="21"/>
        <v>4</v>
      </c>
      <c r="D294" s="2">
        <f t="shared" ca="1" si="18"/>
        <v>8</v>
      </c>
      <c r="E294" s="2">
        <f t="shared" ca="1" si="19"/>
        <v>1</v>
      </c>
    </row>
    <row r="295" spans="1:5" x14ac:dyDescent="0.3">
      <c r="A295" s="3">
        <f t="shared" si="20"/>
        <v>293</v>
      </c>
      <c r="B295" s="3">
        <f t="shared" ca="1" si="21"/>
        <v>6</v>
      </c>
      <c r="C295" s="3">
        <f t="shared" ca="1" si="21"/>
        <v>6</v>
      </c>
      <c r="D295" s="2">
        <f t="shared" ca="1" si="18"/>
        <v>12</v>
      </c>
      <c r="E295" s="2">
        <f t="shared" ca="1" si="19"/>
        <v>1</v>
      </c>
    </row>
    <row r="296" spans="1:5" x14ac:dyDescent="0.3">
      <c r="A296" s="3">
        <f t="shared" si="20"/>
        <v>294</v>
      </c>
      <c r="B296" s="3">
        <f t="shared" ca="1" si="21"/>
        <v>3</v>
      </c>
      <c r="C296" s="3">
        <f t="shared" ca="1" si="21"/>
        <v>4</v>
      </c>
      <c r="D296" s="2">
        <f t="shared" ca="1" si="18"/>
        <v>7</v>
      </c>
      <c r="E296" s="2">
        <f t="shared" ca="1" si="19"/>
        <v>0</v>
      </c>
    </row>
    <row r="297" spans="1:5" x14ac:dyDescent="0.3">
      <c r="A297" s="3">
        <f t="shared" si="20"/>
        <v>295</v>
      </c>
      <c r="B297" s="3">
        <f t="shared" ca="1" si="21"/>
        <v>6</v>
      </c>
      <c r="C297" s="3">
        <f t="shared" ca="1" si="21"/>
        <v>4</v>
      </c>
      <c r="D297" s="2">
        <f t="shared" ca="1" si="18"/>
        <v>10</v>
      </c>
      <c r="E297" s="2">
        <f t="shared" ca="1" si="19"/>
        <v>1</v>
      </c>
    </row>
    <row r="298" spans="1:5" x14ac:dyDescent="0.3">
      <c r="A298" s="3">
        <f t="shared" si="20"/>
        <v>296</v>
      </c>
      <c r="B298" s="3">
        <f t="shared" ca="1" si="21"/>
        <v>5</v>
      </c>
      <c r="C298" s="3">
        <f t="shared" ca="1" si="21"/>
        <v>5</v>
      </c>
      <c r="D298" s="2">
        <f t="shared" ca="1" si="18"/>
        <v>10</v>
      </c>
      <c r="E298" s="2">
        <f t="shared" ca="1" si="19"/>
        <v>1</v>
      </c>
    </row>
    <row r="299" spans="1:5" x14ac:dyDescent="0.3">
      <c r="A299" s="3">
        <f t="shared" si="20"/>
        <v>297</v>
      </c>
      <c r="B299" s="3">
        <f t="shared" ca="1" si="21"/>
        <v>5</v>
      </c>
      <c r="C299" s="3">
        <f t="shared" ca="1" si="21"/>
        <v>5</v>
      </c>
      <c r="D299" s="2">
        <f t="shared" ca="1" si="18"/>
        <v>10</v>
      </c>
      <c r="E299" s="2">
        <f t="shared" ca="1" si="19"/>
        <v>1</v>
      </c>
    </row>
    <row r="300" spans="1:5" x14ac:dyDescent="0.3">
      <c r="A300" s="3">
        <f t="shared" si="20"/>
        <v>298</v>
      </c>
      <c r="B300" s="3">
        <f t="shared" ca="1" si="21"/>
        <v>6</v>
      </c>
      <c r="C300" s="3">
        <f t="shared" ca="1" si="21"/>
        <v>2</v>
      </c>
      <c r="D300" s="2">
        <f t="shared" ca="1" si="18"/>
        <v>8</v>
      </c>
      <c r="E300" s="2">
        <f t="shared" ca="1" si="19"/>
        <v>1</v>
      </c>
    </row>
    <row r="301" spans="1:5" x14ac:dyDescent="0.3">
      <c r="A301" s="3">
        <f t="shared" si="20"/>
        <v>299</v>
      </c>
      <c r="B301" s="3">
        <f t="shared" ca="1" si="21"/>
        <v>5</v>
      </c>
      <c r="C301" s="3">
        <f t="shared" ca="1" si="21"/>
        <v>4</v>
      </c>
      <c r="D301" s="2">
        <f t="shared" ca="1" si="18"/>
        <v>9</v>
      </c>
      <c r="E301" s="2">
        <f t="shared" ca="1" si="19"/>
        <v>1</v>
      </c>
    </row>
    <row r="302" spans="1:5" x14ac:dyDescent="0.3">
      <c r="A302" s="3">
        <f t="shared" si="20"/>
        <v>300</v>
      </c>
      <c r="B302" s="3">
        <f t="shared" ca="1" si="21"/>
        <v>1</v>
      </c>
      <c r="C302" s="3">
        <f t="shared" ca="1" si="21"/>
        <v>1</v>
      </c>
      <c r="D302" s="2">
        <f t="shared" ca="1" si="18"/>
        <v>2</v>
      </c>
      <c r="E302" s="2">
        <f t="shared" ca="1" si="19"/>
        <v>0</v>
      </c>
    </row>
    <row r="303" spans="1:5" x14ac:dyDescent="0.3">
      <c r="A303" s="3">
        <f t="shared" si="20"/>
        <v>301</v>
      </c>
      <c r="B303" s="3">
        <f t="shared" ca="1" si="21"/>
        <v>2</v>
      </c>
      <c r="C303" s="3">
        <f t="shared" ca="1" si="21"/>
        <v>4</v>
      </c>
      <c r="D303" s="2">
        <f t="shared" ca="1" si="18"/>
        <v>6</v>
      </c>
      <c r="E303" s="2">
        <f t="shared" ca="1" si="19"/>
        <v>0</v>
      </c>
    </row>
    <row r="304" spans="1:5" x14ac:dyDescent="0.3">
      <c r="A304" s="3">
        <f t="shared" si="20"/>
        <v>302</v>
      </c>
      <c r="B304" s="3">
        <f t="shared" ca="1" si="21"/>
        <v>4</v>
      </c>
      <c r="C304" s="3">
        <f t="shared" ca="1" si="21"/>
        <v>3</v>
      </c>
      <c r="D304" s="2">
        <f t="shared" ca="1" si="18"/>
        <v>7</v>
      </c>
      <c r="E304" s="2">
        <f t="shared" ca="1" si="19"/>
        <v>0</v>
      </c>
    </row>
    <row r="305" spans="1:5" x14ac:dyDescent="0.3">
      <c r="A305" s="3">
        <f t="shared" si="20"/>
        <v>303</v>
      </c>
      <c r="B305" s="3">
        <f t="shared" ca="1" si="21"/>
        <v>1</v>
      </c>
      <c r="C305" s="3">
        <f t="shared" ca="1" si="21"/>
        <v>1</v>
      </c>
      <c r="D305" s="2">
        <f t="shared" ca="1" si="18"/>
        <v>2</v>
      </c>
      <c r="E305" s="2">
        <f t="shared" ca="1" si="19"/>
        <v>0</v>
      </c>
    </row>
    <row r="306" spans="1:5" x14ac:dyDescent="0.3">
      <c r="A306" s="3">
        <f t="shared" si="20"/>
        <v>304</v>
      </c>
      <c r="B306" s="3">
        <f t="shared" ca="1" si="21"/>
        <v>6</v>
      </c>
      <c r="C306" s="3">
        <f t="shared" ca="1" si="21"/>
        <v>2</v>
      </c>
      <c r="D306" s="2">
        <f t="shared" ca="1" si="18"/>
        <v>8</v>
      </c>
      <c r="E306" s="2">
        <f t="shared" ca="1" si="19"/>
        <v>1</v>
      </c>
    </row>
    <row r="307" spans="1:5" x14ac:dyDescent="0.3">
      <c r="A307" s="3">
        <f t="shared" si="20"/>
        <v>305</v>
      </c>
      <c r="B307" s="3">
        <f t="shared" ca="1" si="21"/>
        <v>2</v>
      </c>
      <c r="C307" s="3">
        <f t="shared" ca="1" si="21"/>
        <v>6</v>
      </c>
      <c r="D307" s="2">
        <f t="shared" ca="1" si="18"/>
        <v>8</v>
      </c>
      <c r="E307" s="2">
        <f t="shared" ca="1" si="19"/>
        <v>1</v>
      </c>
    </row>
    <row r="308" spans="1:5" x14ac:dyDescent="0.3">
      <c r="A308" s="3">
        <f t="shared" si="20"/>
        <v>306</v>
      </c>
      <c r="B308" s="3">
        <f t="shared" ca="1" si="21"/>
        <v>6</v>
      </c>
      <c r="C308" s="3">
        <f t="shared" ca="1" si="21"/>
        <v>1</v>
      </c>
      <c r="D308" s="2">
        <f t="shared" ca="1" si="18"/>
        <v>7</v>
      </c>
      <c r="E308" s="2">
        <f t="shared" ca="1" si="19"/>
        <v>0</v>
      </c>
    </row>
    <row r="309" spans="1:5" x14ac:dyDescent="0.3">
      <c r="A309" s="3">
        <f t="shared" si="20"/>
        <v>307</v>
      </c>
      <c r="B309" s="3">
        <f t="shared" ca="1" si="21"/>
        <v>5</v>
      </c>
      <c r="C309" s="3">
        <f t="shared" ca="1" si="21"/>
        <v>4</v>
      </c>
      <c r="D309" s="2">
        <f t="shared" ca="1" si="18"/>
        <v>9</v>
      </c>
      <c r="E309" s="2">
        <f t="shared" ca="1" si="19"/>
        <v>1</v>
      </c>
    </row>
    <row r="310" spans="1:5" x14ac:dyDescent="0.3">
      <c r="A310" s="3">
        <f t="shared" si="20"/>
        <v>308</v>
      </c>
      <c r="B310" s="3">
        <f t="shared" ca="1" si="21"/>
        <v>6</v>
      </c>
      <c r="C310" s="3">
        <f t="shared" ca="1" si="21"/>
        <v>1</v>
      </c>
      <c r="D310" s="2">
        <f t="shared" ca="1" si="18"/>
        <v>7</v>
      </c>
      <c r="E310" s="2">
        <f t="shared" ca="1" si="19"/>
        <v>0</v>
      </c>
    </row>
    <row r="311" spans="1:5" x14ac:dyDescent="0.3">
      <c r="A311" s="3">
        <f t="shared" si="20"/>
        <v>309</v>
      </c>
      <c r="B311" s="3">
        <f t="shared" ca="1" si="21"/>
        <v>6</v>
      </c>
      <c r="C311" s="3">
        <f t="shared" ca="1" si="21"/>
        <v>2</v>
      </c>
      <c r="D311" s="2">
        <f t="shared" ca="1" si="18"/>
        <v>8</v>
      </c>
      <c r="E311" s="2">
        <f t="shared" ca="1" si="19"/>
        <v>1</v>
      </c>
    </row>
    <row r="312" spans="1:5" x14ac:dyDescent="0.3">
      <c r="A312" s="3">
        <f t="shared" si="20"/>
        <v>310</v>
      </c>
      <c r="B312" s="3">
        <f t="shared" ca="1" si="21"/>
        <v>2</v>
      </c>
      <c r="C312" s="3">
        <f t="shared" ca="1" si="21"/>
        <v>6</v>
      </c>
      <c r="D312" s="2">
        <f t="shared" ca="1" si="18"/>
        <v>8</v>
      </c>
      <c r="E312" s="2">
        <f t="shared" ca="1" si="19"/>
        <v>1</v>
      </c>
    </row>
    <row r="313" spans="1:5" x14ac:dyDescent="0.3">
      <c r="A313" s="3">
        <f t="shared" si="20"/>
        <v>311</v>
      </c>
      <c r="B313" s="3">
        <f t="shared" ca="1" si="21"/>
        <v>4</v>
      </c>
      <c r="C313" s="3">
        <f t="shared" ca="1" si="21"/>
        <v>4</v>
      </c>
      <c r="D313" s="2">
        <f t="shared" ca="1" si="18"/>
        <v>8</v>
      </c>
      <c r="E313" s="2">
        <f t="shared" ca="1" si="19"/>
        <v>1</v>
      </c>
    </row>
    <row r="314" spans="1:5" x14ac:dyDescent="0.3">
      <c r="A314" s="3">
        <f t="shared" si="20"/>
        <v>312</v>
      </c>
      <c r="B314" s="3">
        <f t="shared" ca="1" si="21"/>
        <v>1</v>
      </c>
      <c r="C314" s="3">
        <f t="shared" ca="1" si="21"/>
        <v>3</v>
      </c>
      <c r="D314" s="2">
        <f t="shared" ca="1" si="18"/>
        <v>4</v>
      </c>
      <c r="E314" s="2">
        <f t="shared" ca="1" si="19"/>
        <v>0</v>
      </c>
    </row>
    <row r="315" spans="1:5" x14ac:dyDescent="0.3">
      <c r="A315" s="3">
        <f t="shared" si="20"/>
        <v>313</v>
      </c>
      <c r="B315" s="3">
        <f t="shared" ca="1" si="21"/>
        <v>5</v>
      </c>
      <c r="C315" s="3">
        <f t="shared" ca="1" si="21"/>
        <v>3</v>
      </c>
      <c r="D315" s="2">
        <f t="shared" ca="1" si="18"/>
        <v>8</v>
      </c>
      <c r="E315" s="2">
        <f t="shared" ca="1" si="19"/>
        <v>1</v>
      </c>
    </row>
    <row r="316" spans="1:5" x14ac:dyDescent="0.3">
      <c r="A316" s="3">
        <f t="shared" si="20"/>
        <v>314</v>
      </c>
      <c r="B316" s="3">
        <f t="shared" ca="1" si="21"/>
        <v>5</v>
      </c>
      <c r="C316" s="3">
        <f t="shared" ca="1" si="21"/>
        <v>4</v>
      </c>
      <c r="D316" s="2">
        <f t="shared" ca="1" si="18"/>
        <v>9</v>
      </c>
      <c r="E316" s="2">
        <f t="shared" ca="1" si="19"/>
        <v>1</v>
      </c>
    </row>
    <row r="317" spans="1:5" x14ac:dyDescent="0.3">
      <c r="A317" s="3">
        <f t="shared" si="20"/>
        <v>315</v>
      </c>
      <c r="B317" s="3">
        <f t="shared" ca="1" si="21"/>
        <v>2</v>
      </c>
      <c r="C317" s="3">
        <f t="shared" ca="1" si="21"/>
        <v>3</v>
      </c>
      <c r="D317" s="2">
        <f t="shared" ca="1" si="18"/>
        <v>5</v>
      </c>
      <c r="E317" s="2">
        <f t="shared" ca="1" si="19"/>
        <v>0</v>
      </c>
    </row>
    <row r="318" spans="1:5" x14ac:dyDescent="0.3">
      <c r="A318" s="3">
        <f t="shared" si="20"/>
        <v>316</v>
      </c>
      <c r="B318" s="3">
        <f t="shared" ca="1" si="21"/>
        <v>1</v>
      </c>
      <c r="C318" s="3">
        <f t="shared" ca="1" si="21"/>
        <v>3</v>
      </c>
      <c r="D318" s="2">
        <f t="shared" ca="1" si="18"/>
        <v>4</v>
      </c>
      <c r="E318" s="2">
        <f t="shared" ca="1" si="19"/>
        <v>0</v>
      </c>
    </row>
    <row r="319" spans="1:5" x14ac:dyDescent="0.3">
      <c r="A319" s="3">
        <f t="shared" si="20"/>
        <v>317</v>
      </c>
      <c r="B319" s="3">
        <f t="shared" ca="1" si="21"/>
        <v>1</v>
      </c>
      <c r="C319" s="3">
        <f t="shared" ca="1" si="21"/>
        <v>6</v>
      </c>
      <c r="D319" s="2">
        <f t="shared" ca="1" si="18"/>
        <v>7</v>
      </c>
      <c r="E319" s="2">
        <f t="shared" ca="1" si="19"/>
        <v>0</v>
      </c>
    </row>
    <row r="320" spans="1:5" x14ac:dyDescent="0.3">
      <c r="A320" s="3">
        <f t="shared" si="20"/>
        <v>318</v>
      </c>
      <c r="B320" s="3">
        <f t="shared" ca="1" si="21"/>
        <v>3</v>
      </c>
      <c r="C320" s="3">
        <f t="shared" ca="1" si="21"/>
        <v>4</v>
      </c>
      <c r="D320" s="2">
        <f t="shared" ca="1" si="18"/>
        <v>7</v>
      </c>
      <c r="E320" s="2">
        <f t="shared" ca="1" si="19"/>
        <v>0</v>
      </c>
    </row>
    <row r="321" spans="1:5" x14ac:dyDescent="0.3">
      <c r="A321" s="3">
        <f t="shared" si="20"/>
        <v>319</v>
      </c>
      <c r="B321" s="3">
        <f t="shared" ca="1" si="21"/>
        <v>4</v>
      </c>
      <c r="C321" s="3">
        <f t="shared" ca="1" si="21"/>
        <v>3</v>
      </c>
      <c r="D321" s="2">
        <f t="shared" ca="1" si="18"/>
        <v>7</v>
      </c>
      <c r="E321" s="2">
        <f t="shared" ca="1" si="19"/>
        <v>0</v>
      </c>
    </row>
    <row r="322" spans="1:5" x14ac:dyDescent="0.3">
      <c r="A322" s="3">
        <f t="shared" si="20"/>
        <v>320</v>
      </c>
      <c r="B322" s="3">
        <f t="shared" ca="1" si="21"/>
        <v>3</v>
      </c>
      <c r="C322" s="3">
        <f t="shared" ca="1" si="21"/>
        <v>6</v>
      </c>
      <c r="D322" s="2">
        <f t="shared" ca="1" si="18"/>
        <v>9</v>
      </c>
      <c r="E322" s="2">
        <f t="shared" ca="1" si="19"/>
        <v>1</v>
      </c>
    </row>
    <row r="323" spans="1:5" x14ac:dyDescent="0.3">
      <c r="A323" s="3">
        <f t="shared" si="20"/>
        <v>321</v>
      </c>
      <c r="B323" s="3">
        <f t="shared" ca="1" si="21"/>
        <v>1</v>
      </c>
      <c r="C323" s="3">
        <f t="shared" ca="1" si="21"/>
        <v>3</v>
      </c>
      <c r="D323" s="2">
        <f t="shared" ca="1" si="18"/>
        <v>4</v>
      </c>
      <c r="E323" s="2">
        <f t="shared" ca="1" si="19"/>
        <v>0</v>
      </c>
    </row>
    <row r="324" spans="1:5" x14ac:dyDescent="0.3">
      <c r="A324" s="3">
        <f t="shared" si="20"/>
        <v>322</v>
      </c>
      <c r="B324" s="3">
        <f t="shared" ca="1" si="21"/>
        <v>2</v>
      </c>
      <c r="C324" s="3">
        <f t="shared" ca="1" si="21"/>
        <v>1</v>
      </c>
      <c r="D324" s="2">
        <f t="shared" ref="D324:D387" ca="1" si="22">C324+B324</f>
        <v>3</v>
      </c>
      <c r="E324" s="2">
        <f t="shared" ref="E324:E387" ca="1" si="23">IF(D324&gt;=8,1,0)</f>
        <v>0</v>
      </c>
    </row>
    <row r="325" spans="1:5" x14ac:dyDescent="0.3">
      <c r="A325" s="3">
        <f t="shared" ref="A325:A388" si="24">A324+1</f>
        <v>323</v>
      </c>
      <c r="B325" s="3">
        <f t="shared" ref="B325:C388" ca="1" si="25">RANDBETWEEN(1,6)</f>
        <v>1</v>
      </c>
      <c r="C325" s="3">
        <f t="shared" ca="1" si="25"/>
        <v>4</v>
      </c>
      <c r="D325" s="2">
        <f t="shared" ca="1" si="22"/>
        <v>5</v>
      </c>
      <c r="E325" s="2">
        <f t="shared" ca="1" si="23"/>
        <v>0</v>
      </c>
    </row>
    <row r="326" spans="1:5" x14ac:dyDescent="0.3">
      <c r="A326" s="3">
        <f t="shared" si="24"/>
        <v>324</v>
      </c>
      <c r="B326" s="3">
        <f t="shared" ca="1" si="25"/>
        <v>1</v>
      </c>
      <c r="C326" s="3">
        <f t="shared" ca="1" si="25"/>
        <v>2</v>
      </c>
      <c r="D326" s="2">
        <f t="shared" ca="1" si="22"/>
        <v>3</v>
      </c>
      <c r="E326" s="2">
        <f t="shared" ca="1" si="23"/>
        <v>0</v>
      </c>
    </row>
    <row r="327" spans="1:5" x14ac:dyDescent="0.3">
      <c r="A327" s="3">
        <f t="shared" si="24"/>
        <v>325</v>
      </c>
      <c r="B327" s="3">
        <f t="shared" ca="1" si="25"/>
        <v>2</v>
      </c>
      <c r="C327" s="3">
        <f t="shared" ca="1" si="25"/>
        <v>6</v>
      </c>
      <c r="D327" s="2">
        <f t="shared" ca="1" si="22"/>
        <v>8</v>
      </c>
      <c r="E327" s="2">
        <f t="shared" ca="1" si="23"/>
        <v>1</v>
      </c>
    </row>
    <row r="328" spans="1:5" x14ac:dyDescent="0.3">
      <c r="A328" s="3">
        <f t="shared" si="24"/>
        <v>326</v>
      </c>
      <c r="B328" s="3">
        <f t="shared" ca="1" si="25"/>
        <v>5</v>
      </c>
      <c r="C328" s="3">
        <f t="shared" ca="1" si="25"/>
        <v>1</v>
      </c>
      <c r="D328" s="2">
        <f t="shared" ca="1" si="22"/>
        <v>6</v>
      </c>
      <c r="E328" s="2">
        <f t="shared" ca="1" si="23"/>
        <v>0</v>
      </c>
    </row>
    <row r="329" spans="1:5" x14ac:dyDescent="0.3">
      <c r="A329" s="3">
        <f t="shared" si="24"/>
        <v>327</v>
      </c>
      <c r="B329" s="3">
        <f t="shared" ca="1" si="25"/>
        <v>5</v>
      </c>
      <c r="C329" s="3">
        <f t="shared" ca="1" si="25"/>
        <v>1</v>
      </c>
      <c r="D329" s="2">
        <f t="shared" ca="1" si="22"/>
        <v>6</v>
      </c>
      <c r="E329" s="2">
        <f t="shared" ca="1" si="23"/>
        <v>0</v>
      </c>
    </row>
    <row r="330" spans="1:5" x14ac:dyDescent="0.3">
      <c r="A330" s="3">
        <f t="shared" si="24"/>
        <v>328</v>
      </c>
      <c r="B330" s="3">
        <f t="shared" ca="1" si="25"/>
        <v>4</v>
      </c>
      <c r="C330" s="3">
        <f t="shared" ca="1" si="25"/>
        <v>3</v>
      </c>
      <c r="D330" s="2">
        <f t="shared" ca="1" si="22"/>
        <v>7</v>
      </c>
      <c r="E330" s="2">
        <f t="shared" ca="1" si="23"/>
        <v>0</v>
      </c>
    </row>
    <row r="331" spans="1:5" x14ac:dyDescent="0.3">
      <c r="A331" s="3">
        <f t="shared" si="24"/>
        <v>329</v>
      </c>
      <c r="B331" s="3">
        <f t="shared" ca="1" si="25"/>
        <v>5</v>
      </c>
      <c r="C331" s="3">
        <f t="shared" ca="1" si="25"/>
        <v>1</v>
      </c>
      <c r="D331" s="2">
        <f t="shared" ca="1" si="22"/>
        <v>6</v>
      </c>
      <c r="E331" s="2">
        <f t="shared" ca="1" si="23"/>
        <v>0</v>
      </c>
    </row>
    <row r="332" spans="1:5" x14ac:dyDescent="0.3">
      <c r="A332" s="3">
        <f t="shared" si="24"/>
        <v>330</v>
      </c>
      <c r="B332" s="3">
        <f t="shared" ca="1" si="25"/>
        <v>1</v>
      </c>
      <c r="C332" s="3">
        <f t="shared" ca="1" si="25"/>
        <v>4</v>
      </c>
      <c r="D332" s="2">
        <f t="shared" ca="1" si="22"/>
        <v>5</v>
      </c>
      <c r="E332" s="2">
        <f t="shared" ca="1" si="23"/>
        <v>0</v>
      </c>
    </row>
    <row r="333" spans="1:5" x14ac:dyDescent="0.3">
      <c r="A333" s="3">
        <f t="shared" si="24"/>
        <v>331</v>
      </c>
      <c r="B333" s="3">
        <f t="shared" ca="1" si="25"/>
        <v>1</v>
      </c>
      <c r="C333" s="3">
        <f t="shared" ca="1" si="25"/>
        <v>1</v>
      </c>
      <c r="D333" s="2">
        <f t="shared" ca="1" si="22"/>
        <v>2</v>
      </c>
      <c r="E333" s="2">
        <f t="shared" ca="1" si="23"/>
        <v>0</v>
      </c>
    </row>
    <row r="334" spans="1:5" x14ac:dyDescent="0.3">
      <c r="A334" s="3">
        <f t="shared" si="24"/>
        <v>332</v>
      </c>
      <c r="B334" s="3">
        <f t="shared" ca="1" si="25"/>
        <v>2</v>
      </c>
      <c r="C334" s="3">
        <f t="shared" ca="1" si="25"/>
        <v>2</v>
      </c>
      <c r="D334" s="2">
        <f t="shared" ca="1" si="22"/>
        <v>4</v>
      </c>
      <c r="E334" s="2">
        <f t="shared" ca="1" si="23"/>
        <v>0</v>
      </c>
    </row>
    <row r="335" spans="1:5" x14ac:dyDescent="0.3">
      <c r="A335" s="3">
        <f t="shared" si="24"/>
        <v>333</v>
      </c>
      <c r="B335" s="3">
        <f t="shared" ca="1" si="25"/>
        <v>6</v>
      </c>
      <c r="C335" s="3">
        <f t="shared" ca="1" si="25"/>
        <v>1</v>
      </c>
      <c r="D335" s="2">
        <f t="shared" ca="1" si="22"/>
        <v>7</v>
      </c>
      <c r="E335" s="2">
        <f t="shared" ca="1" si="23"/>
        <v>0</v>
      </c>
    </row>
    <row r="336" spans="1:5" x14ac:dyDescent="0.3">
      <c r="A336" s="3">
        <f t="shared" si="24"/>
        <v>334</v>
      </c>
      <c r="B336" s="3">
        <f t="shared" ca="1" si="25"/>
        <v>5</v>
      </c>
      <c r="C336" s="3">
        <f t="shared" ca="1" si="25"/>
        <v>6</v>
      </c>
      <c r="D336" s="2">
        <f t="shared" ca="1" si="22"/>
        <v>11</v>
      </c>
      <c r="E336" s="2">
        <f t="shared" ca="1" si="23"/>
        <v>1</v>
      </c>
    </row>
    <row r="337" spans="1:5" x14ac:dyDescent="0.3">
      <c r="A337" s="3">
        <f t="shared" si="24"/>
        <v>335</v>
      </c>
      <c r="B337" s="3">
        <f t="shared" ca="1" si="25"/>
        <v>4</v>
      </c>
      <c r="C337" s="3">
        <f t="shared" ca="1" si="25"/>
        <v>3</v>
      </c>
      <c r="D337" s="2">
        <f t="shared" ca="1" si="22"/>
        <v>7</v>
      </c>
      <c r="E337" s="2">
        <f t="shared" ca="1" si="23"/>
        <v>0</v>
      </c>
    </row>
    <row r="338" spans="1:5" x14ac:dyDescent="0.3">
      <c r="A338" s="3">
        <f t="shared" si="24"/>
        <v>336</v>
      </c>
      <c r="B338" s="3">
        <f t="shared" ca="1" si="25"/>
        <v>6</v>
      </c>
      <c r="C338" s="3">
        <f t="shared" ca="1" si="25"/>
        <v>3</v>
      </c>
      <c r="D338" s="2">
        <f t="shared" ca="1" si="22"/>
        <v>9</v>
      </c>
      <c r="E338" s="2">
        <f t="shared" ca="1" si="23"/>
        <v>1</v>
      </c>
    </row>
    <row r="339" spans="1:5" x14ac:dyDescent="0.3">
      <c r="A339" s="3">
        <f t="shared" si="24"/>
        <v>337</v>
      </c>
      <c r="B339" s="3">
        <f t="shared" ca="1" si="25"/>
        <v>5</v>
      </c>
      <c r="C339" s="3">
        <f t="shared" ca="1" si="25"/>
        <v>3</v>
      </c>
      <c r="D339" s="2">
        <f t="shared" ca="1" si="22"/>
        <v>8</v>
      </c>
      <c r="E339" s="2">
        <f t="shared" ca="1" si="23"/>
        <v>1</v>
      </c>
    </row>
    <row r="340" spans="1:5" x14ac:dyDescent="0.3">
      <c r="A340" s="3">
        <f t="shared" si="24"/>
        <v>338</v>
      </c>
      <c r="B340" s="3">
        <f t="shared" ca="1" si="25"/>
        <v>6</v>
      </c>
      <c r="C340" s="3">
        <f t="shared" ca="1" si="25"/>
        <v>6</v>
      </c>
      <c r="D340" s="2">
        <f t="shared" ca="1" si="22"/>
        <v>12</v>
      </c>
      <c r="E340" s="2">
        <f t="shared" ca="1" si="23"/>
        <v>1</v>
      </c>
    </row>
    <row r="341" spans="1:5" x14ac:dyDescent="0.3">
      <c r="A341" s="3">
        <f t="shared" si="24"/>
        <v>339</v>
      </c>
      <c r="B341" s="3">
        <f t="shared" ca="1" si="25"/>
        <v>1</v>
      </c>
      <c r="C341" s="3">
        <f t="shared" ca="1" si="25"/>
        <v>1</v>
      </c>
      <c r="D341" s="2">
        <f t="shared" ca="1" si="22"/>
        <v>2</v>
      </c>
      <c r="E341" s="2">
        <f t="shared" ca="1" si="23"/>
        <v>0</v>
      </c>
    </row>
    <row r="342" spans="1:5" x14ac:dyDescent="0.3">
      <c r="A342" s="3">
        <f t="shared" si="24"/>
        <v>340</v>
      </c>
      <c r="B342" s="3">
        <f t="shared" ca="1" si="25"/>
        <v>6</v>
      </c>
      <c r="C342" s="3">
        <f t="shared" ca="1" si="25"/>
        <v>1</v>
      </c>
      <c r="D342" s="2">
        <f t="shared" ca="1" si="22"/>
        <v>7</v>
      </c>
      <c r="E342" s="2">
        <f t="shared" ca="1" si="23"/>
        <v>0</v>
      </c>
    </row>
    <row r="343" spans="1:5" x14ac:dyDescent="0.3">
      <c r="A343" s="3">
        <f t="shared" si="24"/>
        <v>341</v>
      </c>
      <c r="B343" s="3">
        <f t="shared" ca="1" si="25"/>
        <v>1</v>
      </c>
      <c r="C343" s="3">
        <f t="shared" ca="1" si="25"/>
        <v>3</v>
      </c>
      <c r="D343" s="2">
        <f t="shared" ca="1" si="22"/>
        <v>4</v>
      </c>
      <c r="E343" s="2">
        <f t="shared" ca="1" si="23"/>
        <v>0</v>
      </c>
    </row>
    <row r="344" spans="1:5" x14ac:dyDescent="0.3">
      <c r="A344" s="3">
        <f t="shared" si="24"/>
        <v>342</v>
      </c>
      <c r="B344" s="3">
        <f t="shared" ca="1" si="25"/>
        <v>2</v>
      </c>
      <c r="C344" s="3">
        <f t="shared" ca="1" si="25"/>
        <v>1</v>
      </c>
      <c r="D344" s="2">
        <f t="shared" ca="1" si="22"/>
        <v>3</v>
      </c>
      <c r="E344" s="2">
        <f t="shared" ca="1" si="23"/>
        <v>0</v>
      </c>
    </row>
    <row r="345" spans="1:5" x14ac:dyDescent="0.3">
      <c r="A345" s="3">
        <f t="shared" si="24"/>
        <v>343</v>
      </c>
      <c r="B345" s="3">
        <f t="shared" ca="1" si="25"/>
        <v>3</v>
      </c>
      <c r="C345" s="3">
        <f t="shared" ca="1" si="25"/>
        <v>3</v>
      </c>
      <c r="D345" s="2">
        <f t="shared" ca="1" si="22"/>
        <v>6</v>
      </c>
      <c r="E345" s="2">
        <f t="shared" ca="1" si="23"/>
        <v>0</v>
      </c>
    </row>
    <row r="346" spans="1:5" x14ac:dyDescent="0.3">
      <c r="A346" s="3">
        <f t="shared" si="24"/>
        <v>344</v>
      </c>
      <c r="B346" s="3">
        <f t="shared" ca="1" si="25"/>
        <v>1</v>
      </c>
      <c r="C346" s="3">
        <f t="shared" ca="1" si="25"/>
        <v>3</v>
      </c>
      <c r="D346" s="2">
        <f t="shared" ca="1" si="22"/>
        <v>4</v>
      </c>
      <c r="E346" s="2">
        <f t="shared" ca="1" si="23"/>
        <v>0</v>
      </c>
    </row>
    <row r="347" spans="1:5" x14ac:dyDescent="0.3">
      <c r="A347" s="3">
        <f t="shared" si="24"/>
        <v>345</v>
      </c>
      <c r="B347" s="3">
        <f t="shared" ca="1" si="25"/>
        <v>1</v>
      </c>
      <c r="C347" s="3">
        <f t="shared" ca="1" si="25"/>
        <v>6</v>
      </c>
      <c r="D347" s="2">
        <f t="shared" ca="1" si="22"/>
        <v>7</v>
      </c>
      <c r="E347" s="2">
        <f t="shared" ca="1" si="23"/>
        <v>0</v>
      </c>
    </row>
    <row r="348" spans="1:5" x14ac:dyDescent="0.3">
      <c r="A348" s="3">
        <f t="shared" si="24"/>
        <v>346</v>
      </c>
      <c r="B348" s="3">
        <f t="shared" ca="1" si="25"/>
        <v>4</v>
      </c>
      <c r="C348" s="3">
        <f t="shared" ca="1" si="25"/>
        <v>4</v>
      </c>
      <c r="D348" s="2">
        <f t="shared" ca="1" si="22"/>
        <v>8</v>
      </c>
      <c r="E348" s="2">
        <f t="shared" ca="1" si="23"/>
        <v>1</v>
      </c>
    </row>
    <row r="349" spans="1:5" x14ac:dyDescent="0.3">
      <c r="A349" s="3">
        <f t="shared" si="24"/>
        <v>347</v>
      </c>
      <c r="B349" s="3">
        <f t="shared" ca="1" si="25"/>
        <v>4</v>
      </c>
      <c r="C349" s="3">
        <f t="shared" ca="1" si="25"/>
        <v>4</v>
      </c>
      <c r="D349" s="2">
        <f t="shared" ca="1" si="22"/>
        <v>8</v>
      </c>
      <c r="E349" s="2">
        <f t="shared" ca="1" si="23"/>
        <v>1</v>
      </c>
    </row>
    <row r="350" spans="1:5" x14ac:dyDescent="0.3">
      <c r="A350" s="3">
        <f t="shared" si="24"/>
        <v>348</v>
      </c>
      <c r="B350" s="3">
        <f t="shared" ca="1" si="25"/>
        <v>4</v>
      </c>
      <c r="C350" s="3">
        <f t="shared" ca="1" si="25"/>
        <v>3</v>
      </c>
      <c r="D350" s="2">
        <f t="shared" ca="1" si="22"/>
        <v>7</v>
      </c>
      <c r="E350" s="2">
        <f t="shared" ca="1" si="23"/>
        <v>0</v>
      </c>
    </row>
    <row r="351" spans="1:5" x14ac:dyDescent="0.3">
      <c r="A351" s="3">
        <f t="shared" si="24"/>
        <v>349</v>
      </c>
      <c r="B351" s="3">
        <f t="shared" ca="1" si="25"/>
        <v>2</v>
      </c>
      <c r="C351" s="3">
        <f t="shared" ca="1" si="25"/>
        <v>4</v>
      </c>
      <c r="D351" s="2">
        <f t="shared" ca="1" si="22"/>
        <v>6</v>
      </c>
      <c r="E351" s="2">
        <f t="shared" ca="1" si="23"/>
        <v>0</v>
      </c>
    </row>
    <row r="352" spans="1:5" x14ac:dyDescent="0.3">
      <c r="A352" s="3">
        <f t="shared" si="24"/>
        <v>350</v>
      </c>
      <c r="B352" s="3">
        <f t="shared" ca="1" si="25"/>
        <v>5</v>
      </c>
      <c r="C352" s="3">
        <f t="shared" ca="1" si="25"/>
        <v>2</v>
      </c>
      <c r="D352" s="2">
        <f t="shared" ca="1" si="22"/>
        <v>7</v>
      </c>
      <c r="E352" s="2">
        <f t="shared" ca="1" si="23"/>
        <v>0</v>
      </c>
    </row>
    <row r="353" spans="1:5" x14ac:dyDescent="0.3">
      <c r="A353" s="3">
        <f t="shared" si="24"/>
        <v>351</v>
      </c>
      <c r="B353" s="3">
        <f t="shared" ca="1" si="25"/>
        <v>2</v>
      </c>
      <c r="C353" s="3">
        <f t="shared" ca="1" si="25"/>
        <v>6</v>
      </c>
      <c r="D353" s="2">
        <f t="shared" ca="1" si="22"/>
        <v>8</v>
      </c>
      <c r="E353" s="2">
        <f t="shared" ca="1" si="23"/>
        <v>1</v>
      </c>
    </row>
    <row r="354" spans="1:5" x14ac:dyDescent="0.3">
      <c r="A354" s="3">
        <f t="shared" si="24"/>
        <v>352</v>
      </c>
      <c r="B354" s="3">
        <f t="shared" ca="1" si="25"/>
        <v>5</v>
      </c>
      <c r="C354" s="3">
        <f t="shared" ca="1" si="25"/>
        <v>4</v>
      </c>
      <c r="D354" s="2">
        <f t="shared" ca="1" si="22"/>
        <v>9</v>
      </c>
      <c r="E354" s="2">
        <f t="shared" ca="1" si="23"/>
        <v>1</v>
      </c>
    </row>
    <row r="355" spans="1:5" x14ac:dyDescent="0.3">
      <c r="A355" s="3">
        <f t="shared" si="24"/>
        <v>353</v>
      </c>
      <c r="B355" s="3">
        <f t="shared" ca="1" si="25"/>
        <v>6</v>
      </c>
      <c r="C355" s="3">
        <f t="shared" ca="1" si="25"/>
        <v>5</v>
      </c>
      <c r="D355" s="2">
        <f t="shared" ca="1" si="22"/>
        <v>11</v>
      </c>
      <c r="E355" s="2">
        <f t="shared" ca="1" si="23"/>
        <v>1</v>
      </c>
    </row>
    <row r="356" spans="1:5" x14ac:dyDescent="0.3">
      <c r="A356" s="3">
        <f t="shared" si="24"/>
        <v>354</v>
      </c>
      <c r="B356" s="3">
        <f t="shared" ca="1" si="25"/>
        <v>6</v>
      </c>
      <c r="C356" s="3">
        <f t="shared" ca="1" si="25"/>
        <v>4</v>
      </c>
      <c r="D356" s="2">
        <f t="shared" ca="1" si="22"/>
        <v>10</v>
      </c>
      <c r="E356" s="2">
        <f t="shared" ca="1" si="23"/>
        <v>1</v>
      </c>
    </row>
    <row r="357" spans="1:5" x14ac:dyDescent="0.3">
      <c r="A357" s="3">
        <f t="shared" si="24"/>
        <v>355</v>
      </c>
      <c r="B357" s="3">
        <f t="shared" ca="1" si="25"/>
        <v>6</v>
      </c>
      <c r="C357" s="3">
        <f t="shared" ca="1" si="25"/>
        <v>5</v>
      </c>
      <c r="D357" s="2">
        <f t="shared" ca="1" si="22"/>
        <v>11</v>
      </c>
      <c r="E357" s="2">
        <f t="shared" ca="1" si="23"/>
        <v>1</v>
      </c>
    </row>
    <row r="358" spans="1:5" x14ac:dyDescent="0.3">
      <c r="A358" s="3">
        <f t="shared" si="24"/>
        <v>356</v>
      </c>
      <c r="B358" s="3">
        <f t="shared" ca="1" si="25"/>
        <v>1</v>
      </c>
      <c r="C358" s="3">
        <f t="shared" ca="1" si="25"/>
        <v>3</v>
      </c>
      <c r="D358" s="2">
        <f t="shared" ca="1" si="22"/>
        <v>4</v>
      </c>
      <c r="E358" s="2">
        <f t="shared" ca="1" si="23"/>
        <v>0</v>
      </c>
    </row>
    <row r="359" spans="1:5" x14ac:dyDescent="0.3">
      <c r="A359" s="3">
        <f t="shared" si="24"/>
        <v>357</v>
      </c>
      <c r="B359" s="3">
        <f t="shared" ca="1" si="25"/>
        <v>1</v>
      </c>
      <c r="C359" s="3">
        <f t="shared" ca="1" si="25"/>
        <v>2</v>
      </c>
      <c r="D359" s="2">
        <f t="shared" ca="1" si="22"/>
        <v>3</v>
      </c>
      <c r="E359" s="2">
        <f t="shared" ca="1" si="23"/>
        <v>0</v>
      </c>
    </row>
    <row r="360" spans="1:5" x14ac:dyDescent="0.3">
      <c r="A360" s="3">
        <f t="shared" si="24"/>
        <v>358</v>
      </c>
      <c r="B360" s="3">
        <f t="shared" ca="1" si="25"/>
        <v>1</v>
      </c>
      <c r="C360" s="3">
        <f t="shared" ca="1" si="25"/>
        <v>2</v>
      </c>
      <c r="D360" s="2">
        <f t="shared" ca="1" si="22"/>
        <v>3</v>
      </c>
      <c r="E360" s="2">
        <f t="shared" ca="1" si="23"/>
        <v>0</v>
      </c>
    </row>
    <row r="361" spans="1:5" x14ac:dyDescent="0.3">
      <c r="A361" s="3">
        <f t="shared" si="24"/>
        <v>359</v>
      </c>
      <c r="B361" s="3">
        <f t="shared" ca="1" si="25"/>
        <v>3</v>
      </c>
      <c r="C361" s="3">
        <f t="shared" ca="1" si="25"/>
        <v>6</v>
      </c>
      <c r="D361" s="2">
        <f t="shared" ca="1" si="22"/>
        <v>9</v>
      </c>
      <c r="E361" s="2">
        <f t="shared" ca="1" si="23"/>
        <v>1</v>
      </c>
    </row>
    <row r="362" spans="1:5" x14ac:dyDescent="0.3">
      <c r="A362" s="3">
        <f t="shared" si="24"/>
        <v>360</v>
      </c>
      <c r="B362" s="3">
        <f t="shared" ca="1" si="25"/>
        <v>6</v>
      </c>
      <c r="C362" s="3">
        <f t="shared" ca="1" si="25"/>
        <v>2</v>
      </c>
      <c r="D362" s="2">
        <f t="shared" ca="1" si="22"/>
        <v>8</v>
      </c>
      <c r="E362" s="2">
        <f t="shared" ca="1" si="23"/>
        <v>1</v>
      </c>
    </row>
    <row r="363" spans="1:5" x14ac:dyDescent="0.3">
      <c r="A363" s="3">
        <f t="shared" si="24"/>
        <v>361</v>
      </c>
      <c r="B363" s="3">
        <f t="shared" ca="1" si="25"/>
        <v>3</v>
      </c>
      <c r="C363" s="3">
        <f t="shared" ca="1" si="25"/>
        <v>3</v>
      </c>
      <c r="D363" s="2">
        <f t="shared" ca="1" si="22"/>
        <v>6</v>
      </c>
      <c r="E363" s="2">
        <f t="shared" ca="1" si="23"/>
        <v>0</v>
      </c>
    </row>
    <row r="364" spans="1:5" x14ac:dyDescent="0.3">
      <c r="A364" s="3">
        <f t="shared" si="24"/>
        <v>362</v>
      </c>
      <c r="B364" s="3">
        <f t="shared" ca="1" si="25"/>
        <v>2</v>
      </c>
      <c r="C364" s="3">
        <f t="shared" ca="1" si="25"/>
        <v>3</v>
      </c>
      <c r="D364" s="2">
        <f t="shared" ca="1" si="22"/>
        <v>5</v>
      </c>
      <c r="E364" s="2">
        <f t="shared" ca="1" si="23"/>
        <v>0</v>
      </c>
    </row>
    <row r="365" spans="1:5" x14ac:dyDescent="0.3">
      <c r="A365" s="3">
        <f t="shared" si="24"/>
        <v>363</v>
      </c>
      <c r="B365" s="3">
        <f t="shared" ca="1" si="25"/>
        <v>2</v>
      </c>
      <c r="C365" s="3">
        <f t="shared" ca="1" si="25"/>
        <v>3</v>
      </c>
      <c r="D365" s="2">
        <f t="shared" ca="1" si="22"/>
        <v>5</v>
      </c>
      <c r="E365" s="2">
        <f t="shared" ca="1" si="23"/>
        <v>0</v>
      </c>
    </row>
    <row r="366" spans="1:5" x14ac:dyDescent="0.3">
      <c r="A366" s="3">
        <f t="shared" si="24"/>
        <v>364</v>
      </c>
      <c r="B366" s="3">
        <f t="shared" ca="1" si="25"/>
        <v>5</v>
      </c>
      <c r="C366" s="3">
        <f t="shared" ca="1" si="25"/>
        <v>6</v>
      </c>
      <c r="D366" s="2">
        <f t="shared" ca="1" si="22"/>
        <v>11</v>
      </c>
      <c r="E366" s="2">
        <f t="shared" ca="1" si="23"/>
        <v>1</v>
      </c>
    </row>
    <row r="367" spans="1:5" x14ac:dyDescent="0.3">
      <c r="A367" s="3">
        <f t="shared" si="24"/>
        <v>365</v>
      </c>
      <c r="B367" s="3">
        <f t="shared" ca="1" si="25"/>
        <v>2</v>
      </c>
      <c r="C367" s="3">
        <f t="shared" ca="1" si="25"/>
        <v>2</v>
      </c>
      <c r="D367" s="2">
        <f t="shared" ca="1" si="22"/>
        <v>4</v>
      </c>
      <c r="E367" s="2">
        <f t="shared" ca="1" si="23"/>
        <v>0</v>
      </c>
    </row>
    <row r="368" spans="1:5" x14ac:dyDescent="0.3">
      <c r="A368" s="3">
        <f t="shared" si="24"/>
        <v>366</v>
      </c>
      <c r="B368" s="3">
        <f t="shared" ca="1" si="25"/>
        <v>4</v>
      </c>
      <c r="C368" s="3">
        <f t="shared" ca="1" si="25"/>
        <v>6</v>
      </c>
      <c r="D368" s="2">
        <f t="shared" ca="1" si="22"/>
        <v>10</v>
      </c>
      <c r="E368" s="2">
        <f t="shared" ca="1" si="23"/>
        <v>1</v>
      </c>
    </row>
    <row r="369" spans="1:5" x14ac:dyDescent="0.3">
      <c r="A369" s="3">
        <f t="shared" si="24"/>
        <v>367</v>
      </c>
      <c r="B369" s="3">
        <f t="shared" ca="1" si="25"/>
        <v>1</v>
      </c>
      <c r="C369" s="3">
        <f t="shared" ca="1" si="25"/>
        <v>2</v>
      </c>
      <c r="D369" s="2">
        <f t="shared" ca="1" si="22"/>
        <v>3</v>
      </c>
      <c r="E369" s="2">
        <f t="shared" ca="1" si="23"/>
        <v>0</v>
      </c>
    </row>
    <row r="370" spans="1:5" x14ac:dyDescent="0.3">
      <c r="A370" s="3">
        <f t="shared" si="24"/>
        <v>368</v>
      </c>
      <c r="B370" s="3">
        <f t="shared" ca="1" si="25"/>
        <v>5</v>
      </c>
      <c r="C370" s="3">
        <f t="shared" ca="1" si="25"/>
        <v>3</v>
      </c>
      <c r="D370" s="2">
        <f t="shared" ca="1" si="22"/>
        <v>8</v>
      </c>
      <c r="E370" s="2">
        <f t="shared" ca="1" si="23"/>
        <v>1</v>
      </c>
    </row>
    <row r="371" spans="1:5" x14ac:dyDescent="0.3">
      <c r="A371" s="3">
        <f t="shared" si="24"/>
        <v>369</v>
      </c>
      <c r="B371" s="3">
        <f t="shared" ca="1" si="25"/>
        <v>2</v>
      </c>
      <c r="C371" s="3">
        <f t="shared" ca="1" si="25"/>
        <v>5</v>
      </c>
      <c r="D371" s="2">
        <f t="shared" ca="1" si="22"/>
        <v>7</v>
      </c>
      <c r="E371" s="2">
        <f t="shared" ca="1" si="23"/>
        <v>0</v>
      </c>
    </row>
    <row r="372" spans="1:5" x14ac:dyDescent="0.3">
      <c r="A372" s="3">
        <f t="shared" si="24"/>
        <v>370</v>
      </c>
      <c r="B372" s="3">
        <f t="shared" ca="1" si="25"/>
        <v>5</v>
      </c>
      <c r="C372" s="3">
        <f t="shared" ca="1" si="25"/>
        <v>6</v>
      </c>
      <c r="D372" s="2">
        <f t="shared" ca="1" si="22"/>
        <v>11</v>
      </c>
      <c r="E372" s="2">
        <f t="shared" ca="1" si="23"/>
        <v>1</v>
      </c>
    </row>
    <row r="373" spans="1:5" x14ac:dyDescent="0.3">
      <c r="A373" s="3">
        <f t="shared" si="24"/>
        <v>371</v>
      </c>
      <c r="B373" s="3">
        <f t="shared" ca="1" si="25"/>
        <v>4</v>
      </c>
      <c r="C373" s="3">
        <f t="shared" ca="1" si="25"/>
        <v>4</v>
      </c>
      <c r="D373" s="2">
        <f t="shared" ca="1" si="22"/>
        <v>8</v>
      </c>
      <c r="E373" s="2">
        <f t="shared" ca="1" si="23"/>
        <v>1</v>
      </c>
    </row>
    <row r="374" spans="1:5" x14ac:dyDescent="0.3">
      <c r="A374" s="3">
        <f t="shared" si="24"/>
        <v>372</v>
      </c>
      <c r="B374" s="3">
        <f t="shared" ca="1" si="25"/>
        <v>1</v>
      </c>
      <c r="C374" s="3">
        <f t="shared" ca="1" si="25"/>
        <v>5</v>
      </c>
      <c r="D374" s="2">
        <f t="shared" ca="1" si="22"/>
        <v>6</v>
      </c>
      <c r="E374" s="2">
        <f t="shared" ca="1" si="23"/>
        <v>0</v>
      </c>
    </row>
    <row r="375" spans="1:5" x14ac:dyDescent="0.3">
      <c r="A375" s="3">
        <f t="shared" si="24"/>
        <v>373</v>
      </c>
      <c r="B375" s="3">
        <f t="shared" ca="1" si="25"/>
        <v>5</v>
      </c>
      <c r="C375" s="3">
        <f t="shared" ca="1" si="25"/>
        <v>1</v>
      </c>
      <c r="D375" s="2">
        <f t="shared" ca="1" si="22"/>
        <v>6</v>
      </c>
      <c r="E375" s="2">
        <f t="shared" ca="1" si="23"/>
        <v>0</v>
      </c>
    </row>
    <row r="376" spans="1:5" x14ac:dyDescent="0.3">
      <c r="A376" s="3">
        <f t="shared" si="24"/>
        <v>374</v>
      </c>
      <c r="B376" s="3">
        <f t="shared" ca="1" si="25"/>
        <v>3</v>
      </c>
      <c r="C376" s="3">
        <f t="shared" ca="1" si="25"/>
        <v>5</v>
      </c>
      <c r="D376" s="2">
        <f t="shared" ca="1" si="22"/>
        <v>8</v>
      </c>
      <c r="E376" s="2">
        <f t="shared" ca="1" si="23"/>
        <v>1</v>
      </c>
    </row>
    <row r="377" spans="1:5" x14ac:dyDescent="0.3">
      <c r="A377" s="3">
        <f t="shared" si="24"/>
        <v>375</v>
      </c>
      <c r="B377" s="3">
        <f t="shared" ca="1" si="25"/>
        <v>4</v>
      </c>
      <c r="C377" s="3">
        <f t="shared" ca="1" si="25"/>
        <v>4</v>
      </c>
      <c r="D377" s="2">
        <f t="shared" ca="1" si="22"/>
        <v>8</v>
      </c>
      <c r="E377" s="2">
        <f t="shared" ca="1" si="23"/>
        <v>1</v>
      </c>
    </row>
    <row r="378" spans="1:5" x14ac:dyDescent="0.3">
      <c r="A378" s="3">
        <f t="shared" si="24"/>
        <v>376</v>
      </c>
      <c r="B378" s="3">
        <f t="shared" ca="1" si="25"/>
        <v>4</v>
      </c>
      <c r="C378" s="3">
        <f t="shared" ca="1" si="25"/>
        <v>2</v>
      </c>
      <c r="D378" s="2">
        <f t="shared" ca="1" si="22"/>
        <v>6</v>
      </c>
      <c r="E378" s="2">
        <f t="shared" ca="1" si="23"/>
        <v>0</v>
      </c>
    </row>
    <row r="379" spans="1:5" x14ac:dyDescent="0.3">
      <c r="A379" s="3">
        <f t="shared" si="24"/>
        <v>377</v>
      </c>
      <c r="B379" s="3">
        <f t="shared" ca="1" si="25"/>
        <v>5</v>
      </c>
      <c r="C379" s="3">
        <f t="shared" ca="1" si="25"/>
        <v>5</v>
      </c>
      <c r="D379" s="2">
        <f t="shared" ca="1" si="22"/>
        <v>10</v>
      </c>
      <c r="E379" s="2">
        <f t="shared" ca="1" si="23"/>
        <v>1</v>
      </c>
    </row>
    <row r="380" spans="1:5" x14ac:dyDescent="0.3">
      <c r="A380" s="3">
        <f t="shared" si="24"/>
        <v>378</v>
      </c>
      <c r="B380" s="3">
        <f t="shared" ca="1" si="25"/>
        <v>3</v>
      </c>
      <c r="C380" s="3">
        <f t="shared" ca="1" si="25"/>
        <v>4</v>
      </c>
      <c r="D380" s="2">
        <f t="shared" ca="1" si="22"/>
        <v>7</v>
      </c>
      <c r="E380" s="2">
        <f t="shared" ca="1" si="23"/>
        <v>0</v>
      </c>
    </row>
    <row r="381" spans="1:5" x14ac:dyDescent="0.3">
      <c r="A381" s="3">
        <f t="shared" si="24"/>
        <v>379</v>
      </c>
      <c r="B381" s="3">
        <f t="shared" ca="1" si="25"/>
        <v>2</v>
      </c>
      <c r="C381" s="3">
        <f t="shared" ca="1" si="25"/>
        <v>5</v>
      </c>
      <c r="D381" s="2">
        <f t="shared" ca="1" si="22"/>
        <v>7</v>
      </c>
      <c r="E381" s="2">
        <f t="shared" ca="1" si="23"/>
        <v>0</v>
      </c>
    </row>
    <row r="382" spans="1:5" x14ac:dyDescent="0.3">
      <c r="A382" s="3">
        <f t="shared" si="24"/>
        <v>380</v>
      </c>
      <c r="B382" s="3">
        <f t="shared" ca="1" si="25"/>
        <v>4</v>
      </c>
      <c r="C382" s="3">
        <f t="shared" ca="1" si="25"/>
        <v>1</v>
      </c>
      <c r="D382" s="2">
        <f t="shared" ca="1" si="22"/>
        <v>5</v>
      </c>
      <c r="E382" s="2">
        <f t="shared" ca="1" si="23"/>
        <v>0</v>
      </c>
    </row>
    <row r="383" spans="1:5" x14ac:dyDescent="0.3">
      <c r="A383" s="3">
        <f t="shared" si="24"/>
        <v>381</v>
      </c>
      <c r="B383" s="3">
        <f t="shared" ca="1" si="25"/>
        <v>5</v>
      </c>
      <c r="C383" s="3">
        <f t="shared" ca="1" si="25"/>
        <v>2</v>
      </c>
      <c r="D383" s="2">
        <f t="shared" ca="1" si="22"/>
        <v>7</v>
      </c>
      <c r="E383" s="2">
        <f t="shared" ca="1" si="23"/>
        <v>0</v>
      </c>
    </row>
    <row r="384" spans="1:5" x14ac:dyDescent="0.3">
      <c r="A384" s="3">
        <f t="shared" si="24"/>
        <v>382</v>
      </c>
      <c r="B384" s="3">
        <f t="shared" ca="1" si="25"/>
        <v>6</v>
      </c>
      <c r="C384" s="3">
        <f t="shared" ca="1" si="25"/>
        <v>2</v>
      </c>
      <c r="D384" s="2">
        <f t="shared" ca="1" si="22"/>
        <v>8</v>
      </c>
      <c r="E384" s="2">
        <f t="shared" ca="1" si="23"/>
        <v>1</v>
      </c>
    </row>
    <row r="385" spans="1:5" x14ac:dyDescent="0.3">
      <c r="A385" s="3">
        <f t="shared" si="24"/>
        <v>383</v>
      </c>
      <c r="B385" s="3">
        <f t="shared" ca="1" si="25"/>
        <v>5</v>
      </c>
      <c r="C385" s="3">
        <f t="shared" ca="1" si="25"/>
        <v>1</v>
      </c>
      <c r="D385" s="2">
        <f t="shared" ca="1" si="22"/>
        <v>6</v>
      </c>
      <c r="E385" s="2">
        <f t="shared" ca="1" si="23"/>
        <v>0</v>
      </c>
    </row>
    <row r="386" spans="1:5" x14ac:dyDescent="0.3">
      <c r="A386" s="3">
        <f t="shared" si="24"/>
        <v>384</v>
      </c>
      <c r="B386" s="3">
        <f t="shared" ca="1" si="25"/>
        <v>4</v>
      </c>
      <c r="C386" s="3">
        <f t="shared" ca="1" si="25"/>
        <v>1</v>
      </c>
      <c r="D386" s="2">
        <f t="shared" ca="1" si="22"/>
        <v>5</v>
      </c>
      <c r="E386" s="2">
        <f t="shared" ca="1" si="23"/>
        <v>0</v>
      </c>
    </row>
    <row r="387" spans="1:5" x14ac:dyDescent="0.3">
      <c r="A387" s="3">
        <f t="shared" si="24"/>
        <v>385</v>
      </c>
      <c r="B387" s="3">
        <f t="shared" ca="1" si="25"/>
        <v>6</v>
      </c>
      <c r="C387" s="3">
        <f t="shared" ca="1" si="25"/>
        <v>3</v>
      </c>
      <c r="D387" s="2">
        <f t="shared" ca="1" si="22"/>
        <v>9</v>
      </c>
      <c r="E387" s="2">
        <f t="shared" ca="1" si="23"/>
        <v>1</v>
      </c>
    </row>
    <row r="388" spans="1:5" x14ac:dyDescent="0.3">
      <c r="A388" s="3">
        <f t="shared" si="24"/>
        <v>386</v>
      </c>
      <c r="B388" s="3">
        <f t="shared" ca="1" si="25"/>
        <v>1</v>
      </c>
      <c r="C388" s="3">
        <f t="shared" ca="1" si="25"/>
        <v>3</v>
      </c>
      <c r="D388" s="2">
        <f t="shared" ref="D388:D451" ca="1" si="26">C388+B388</f>
        <v>4</v>
      </c>
      <c r="E388" s="2">
        <f t="shared" ref="E388:E451" ca="1" si="27">IF(D388&gt;=8,1,0)</f>
        <v>0</v>
      </c>
    </row>
    <row r="389" spans="1:5" x14ac:dyDescent="0.3">
      <c r="A389" s="3">
        <f t="shared" ref="A389:A452" si="28">A388+1</f>
        <v>387</v>
      </c>
      <c r="B389" s="3">
        <f t="shared" ref="B389:C452" ca="1" si="29">RANDBETWEEN(1,6)</f>
        <v>4</v>
      </c>
      <c r="C389" s="3">
        <f t="shared" ca="1" si="29"/>
        <v>5</v>
      </c>
      <c r="D389" s="2">
        <f t="shared" ca="1" si="26"/>
        <v>9</v>
      </c>
      <c r="E389" s="2">
        <f t="shared" ca="1" si="27"/>
        <v>1</v>
      </c>
    </row>
    <row r="390" spans="1:5" x14ac:dyDescent="0.3">
      <c r="A390" s="3">
        <f t="shared" si="28"/>
        <v>388</v>
      </c>
      <c r="B390" s="3">
        <f t="shared" ca="1" si="29"/>
        <v>2</v>
      </c>
      <c r="C390" s="3">
        <f t="shared" ca="1" si="29"/>
        <v>4</v>
      </c>
      <c r="D390" s="2">
        <f t="shared" ca="1" si="26"/>
        <v>6</v>
      </c>
      <c r="E390" s="2">
        <f t="shared" ca="1" si="27"/>
        <v>0</v>
      </c>
    </row>
    <row r="391" spans="1:5" x14ac:dyDescent="0.3">
      <c r="A391" s="3">
        <f t="shared" si="28"/>
        <v>389</v>
      </c>
      <c r="B391" s="3">
        <f t="shared" ca="1" si="29"/>
        <v>2</v>
      </c>
      <c r="C391" s="3">
        <f t="shared" ca="1" si="29"/>
        <v>6</v>
      </c>
      <c r="D391" s="2">
        <f t="shared" ca="1" si="26"/>
        <v>8</v>
      </c>
      <c r="E391" s="2">
        <f t="shared" ca="1" si="27"/>
        <v>1</v>
      </c>
    </row>
    <row r="392" spans="1:5" x14ac:dyDescent="0.3">
      <c r="A392" s="3">
        <f t="shared" si="28"/>
        <v>390</v>
      </c>
      <c r="B392" s="3">
        <f t="shared" ca="1" si="29"/>
        <v>3</v>
      </c>
      <c r="C392" s="3">
        <f t="shared" ca="1" si="29"/>
        <v>1</v>
      </c>
      <c r="D392" s="2">
        <f t="shared" ca="1" si="26"/>
        <v>4</v>
      </c>
      <c r="E392" s="2">
        <f t="shared" ca="1" si="27"/>
        <v>0</v>
      </c>
    </row>
    <row r="393" spans="1:5" x14ac:dyDescent="0.3">
      <c r="A393" s="3">
        <f t="shared" si="28"/>
        <v>391</v>
      </c>
      <c r="B393" s="3">
        <f t="shared" ca="1" si="29"/>
        <v>3</v>
      </c>
      <c r="C393" s="3">
        <f t="shared" ca="1" si="29"/>
        <v>1</v>
      </c>
      <c r="D393" s="2">
        <f t="shared" ca="1" si="26"/>
        <v>4</v>
      </c>
      <c r="E393" s="2">
        <f t="shared" ca="1" si="27"/>
        <v>0</v>
      </c>
    </row>
    <row r="394" spans="1:5" x14ac:dyDescent="0.3">
      <c r="A394" s="3">
        <f t="shared" si="28"/>
        <v>392</v>
      </c>
      <c r="B394" s="3">
        <f t="shared" ca="1" si="29"/>
        <v>6</v>
      </c>
      <c r="C394" s="3">
        <f t="shared" ca="1" si="29"/>
        <v>5</v>
      </c>
      <c r="D394" s="2">
        <f t="shared" ca="1" si="26"/>
        <v>11</v>
      </c>
      <c r="E394" s="2">
        <f t="shared" ca="1" si="27"/>
        <v>1</v>
      </c>
    </row>
    <row r="395" spans="1:5" x14ac:dyDescent="0.3">
      <c r="A395" s="3">
        <f t="shared" si="28"/>
        <v>393</v>
      </c>
      <c r="B395" s="3">
        <f t="shared" ca="1" si="29"/>
        <v>3</v>
      </c>
      <c r="C395" s="3">
        <f t="shared" ca="1" si="29"/>
        <v>4</v>
      </c>
      <c r="D395" s="2">
        <f t="shared" ca="1" si="26"/>
        <v>7</v>
      </c>
      <c r="E395" s="2">
        <f t="shared" ca="1" si="27"/>
        <v>0</v>
      </c>
    </row>
    <row r="396" spans="1:5" x14ac:dyDescent="0.3">
      <c r="A396" s="3">
        <f t="shared" si="28"/>
        <v>394</v>
      </c>
      <c r="B396" s="3">
        <f t="shared" ca="1" si="29"/>
        <v>2</v>
      </c>
      <c r="C396" s="3">
        <f t="shared" ca="1" si="29"/>
        <v>1</v>
      </c>
      <c r="D396" s="2">
        <f t="shared" ca="1" si="26"/>
        <v>3</v>
      </c>
      <c r="E396" s="2">
        <f t="shared" ca="1" si="27"/>
        <v>0</v>
      </c>
    </row>
    <row r="397" spans="1:5" x14ac:dyDescent="0.3">
      <c r="A397" s="3">
        <f t="shared" si="28"/>
        <v>395</v>
      </c>
      <c r="B397" s="3">
        <f t="shared" ca="1" si="29"/>
        <v>2</v>
      </c>
      <c r="C397" s="3">
        <f t="shared" ca="1" si="29"/>
        <v>1</v>
      </c>
      <c r="D397" s="2">
        <f t="shared" ca="1" si="26"/>
        <v>3</v>
      </c>
      <c r="E397" s="2">
        <f t="shared" ca="1" si="27"/>
        <v>0</v>
      </c>
    </row>
    <row r="398" spans="1:5" x14ac:dyDescent="0.3">
      <c r="A398" s="3">
        <f t="shared" si="28"/>
        <v>396</v>
      </c>
      <c r="B398" s="3">
        <f t="shared" ca="1" si="29"/>
        <v>5</v>
      </c>
      <c r="C398" s="3">
        <f t="shared" ca="1" si="29"/>
        <v>2</v>
      </c>
      <c r="D398" s="2">
        <f t="shared" ca="1" si="26"/>
        <v>7</v>
      </c>
      <c r="E398" s="2">
        <f t="shared" ca="1" si="27"/>
        <v>0</v>
      </c>
    </row>
    <row r="399" spans="1:5" x14ac:dyDescent="0.3">
      <c r="A399" s="3">
        <f t="shared" si="28"/>
        <v>397</v>
      </c>
      <c r="B399" s="3">
        <f t="shared" ca="1" si="29"/>
        <v>4</v>
      </c>
      <c r="C399" s="3">
        <f t="shared" ca="1" si="29"/>
        <v>4</v>
      </c>
      <c r="D399" s="2">
        <f t="shared" ca="1" si="26"/>
        <v>8</v>
      </c>
      <c r="E399" s="2">
        <f t="shared" ca="1" si="27"/>
        <v>1</v>
      </c>
    </row>
    <row r="400" spans="1:5" x14ac:dyDescent="0.3">
      <c r="A400" s="3">
        <f t="shared" si="28"/>
        <v>398</v>
      </c>
      <c r="B400" s="3">
        <f t="shared" ca="1" si="29"/>
        <v>4</v>
      </c>
      <c r="C400" s="3">
        <f t="shared" ca="1" si="29"/>
        <v>5</v>
      </c>
      <c r="D400" s="2">
        <f t="shared" ca="1" si="26"/>
        <v>9</v>
      </c>
      <c r="E400" s="2">
        <f t="shared" ca="1" si="27"/>
        <v>1</v>
      </c>
    </row>
    <row r="401" spans="1:5" x14ac:dyDescent="0.3">
      <c r="A401" s="3">
        <f t="shared" si="28"/>
        <v>399</v>
      </c>
      <c r="B401" s="3">
        <f t="shared" ca="1" si="29"/>
        <v>6</v>
      </c>
      <c r="C401" s="3">
        <f t="shared" ca="1" si="29"/>
        <v>2</v>
      </c>
      <c r="D401" s="2">
        <f t="shared" ca="1" si="26"/>
        <v>8</v>
      </c>
      <c r="E401" s="2">
        <f t="shared" ca="1" si="27"/>
        <v>1</v>
      </c>
    </row>
    <row r="402" spans="1:5" x14ac:dyDescent="0.3">
      <c r="A402" s="3">
        <f t="shared" si="28"/>
        <v>400</v>
      </c>
      <c r="B402" s="3">
        <f t="shared" ca="1" si="29"/>
        <v>5</v>
      </c>
      <c r="C402" s="3">
        <f t="shared" ca="1" si="29"/>
        <v>1</v>
      </c>
      <c r="D402" s="2">
        <f t="shared" ca="1" si="26"/>
        <v>6</v>
      </c>
      <c r="E402" s="2">
        <f t="shared" ca="1" si="27"/>
        <v>0</v>
      </c>
    </row>
    <row r="403" spans="1:5" x14ac:dyDescent="0.3">
      <c r="A403" s="3">
        <f t="shared" si="28"/>
        <v>401</v>
      </c>
      <c r="B403" s="3">
        <f t="shared" ca="1" si="29"/>
        <v>2</v>
      </c>
      <c r="C403" s="3">
        <f t="shared" ca="1" si="29"/>
        <v>3</v>
      </c>
      <c r="D403" s="2">
        <f t="shared" ca="1" si="26"/>
        <v>5</v>
      </c>
      <c r="E403" s="2">
        <f t="shared" ca="1" si="27"/>
        <v>0</v>
      </c>
    </row>
    <row r="404" spans="1:5" x14ac:dyDescent="0.3">
      <c r="A404" s="3">
        <f t="shared" si="28"/>
        <v>402</v>
      </c>
      <c r="B404" s="3">
        <f t="shared" ca="1" si="29"/>
        <v>3</v>
      </c>
      <c r="C404" s="3">
        <f t="shared" ca="1" si="29"/>
        <v>6</v>
      </c>
      <c r="D404" s="2">
        <f t="shared" ca="1" si="26"/>
        <v>9</v>
      </c>
      <c r="E404" s="2">
        <f t="shared" ca="1" si="27"/>
        <v>1</v>
      </c>
    </row>
    <row r="405" spans="1:5" x14ac:dyDescent="0.3">
      <c r="A405" s="3">
        <f t="shared" si="28"/>
        <v>403</v>
      </c>
      <c r="B405" s="3">
        <f t="shared" ca="1" si="29"/>
        <v>2</v>
      </c>
      <c r="C405" s="3">
        <f t="shared" ca="1" si="29"/>
        <v>3</v>
      </c>
      <c r="D405" s="2">
        <f t="shared" ca="1" si="26"/>
        <v>5</v>
      </c>
      <c r="E405" s="2">
        <f t="shared" ca="1" si="27"/>
        <v>0</v>
      </c>
    </row>
    <row r="406" spans="1:5" x14ac:dyDescent="0.3">
      <c r="A406" s="3">
        <f t="shared" si="28"/>
        <v>404</v>
      </c>
      <c r="B406" s="3">
        <f t="shared" ca="1" si="29"/>
        <v>1</v>
      </c>
      <c r="C406" s="3">
        <f t="shared" ca="1" si="29"/>
        <v>3</v>
      </c>
      <c r="D406" s="2">
        <f t="shared" ca="1" si="26"/>
        <v>4</v>
      </c>
      <c r="E406" s="2">
        <f t="shared" ca="1" si="27"/>
        <v>0</v>
      </c>
    </row>
    <row r="407" spans="1:5" x14ac:dyDescent="0.3">
      <c r="A407" s="3">
        <f t="shared" si="28"/>
        <v>405</v>
      </c>
      <c r="B407" s="3">
        <f t="shared" ca="1" si="29"/>
        <v>3</v>
      </c>
      <c r="C407" s="3">
        <f t="shared" ca="1" si="29"/>
        <v>2</v>
      </c>
      <c r="D407" s="2">
        <f t="shared" ca="1" si="26"/>
        <v>5</v>
      </c>
      <c r="E407" s="2">
        <f t="shared" ca="1" si="27"/>
        <v>0</v>
      </c>
    </row>
    <row r="408" spans="1:5" x14ac:dyDescent="0.3">
      <c r="A408" s="3">
        <f t="shared" si="28"/>
        <v>406</v>
      </c>
      <c r="B408" s="3">
        <f t="shared" ca="1" si="29"/>
        <v>1</v>
      </c>
      <c r="C408" s="3">
        <f t="shared" ca="1" si="29"/>
        <v>1</v>
      </c>
      <c r="D408" s="2">
        <f t="shared" ca="1" si="26"/>
        <v>2</v>
      </c>
      <c r="E408" s="2">
        <f t="shared" ca="1" si="27"/>
        <v>0</v>
      </c>
    </row>
    <row r="409" spans="1:5" x14ac:dyDescent="0.3">
      <c r="A409" s="3">
        <f t="shared" si="28"/>
        <v>407</v>
      </c>
      <c r="B409" s="3">
        <f t="shared" ca="1" si="29"/>
        <v>1</v>
      </c>
      <c r="C409" s="3">
        <f t="shared" ca="1" si="29"/>
        <v>2</v>
      </c>
      <c r="D409" s="2">
        <f t="shared" ca="1" si="26"/>
        <v>3</v>
      </c>
      <c r="E409" s="2">
        <f t="shared" ca="1" si="27"/>
        <v>0</v>
      </c>
    </row>
    <row r="410" spans="1:5" x14ac:dyDescent="0.3">
      <c r="A410" s="3">
        <f t="shared" si="28"/>
        <v>408</v>
      </c>
      <c r="B410" s="3">
        <f t="shared" ca="1" si="29"/>
        <v>4</v>
      </c>
      <c r="C410" s="3">
        <f t="shared" ca="1" si="29"/>
        <v>3</v>
      </c>
      <c r="D410" s="2">
        <f t="shared" ca="1" si="26"/>
        <v>7</v>
      </c>
      <c r="E410" s="2">
        <f t="shared" ca="1" si="27"/>
        <v>0</v>
      </c>
    </row>
    <row r="411" spans="1:5" x14ac:dyDescent="0.3">
      <c r="A411" s="3">
        <f t="shared" si="28"/>
        <v>409</v>
      </c>
      <c r="B411" s="3">
        <f t="shared" ca="1" si="29"/>
        <v>2</v>
      </c>
      <c r="C411" s="3">
        <f t="shared" ca="1" si="29"/>
        <v>3</v>
      </c>
      <c r="D411" s="2">
        <f t="shared" ca="1" si="26"/>
        <v>5</v>
      </c>
      <c r="E411" s="2">
        <f t="shared" ca="1" si="27"/>
        <v>0</v>
      </c>
    </row>
    <row r="412" spans="1:5" x14ac:dyDescent="0.3">
      <c r="A412" s="3">
        <f t="shared" si="28"/>
        <v>410</v>
      </c>
      <c r="B412" s="3">
        <f t="shared" ca="1" si="29"/>
        <v>2</v>
      </c>
      <c r="C412" s="3">
        <f t="shared" ca="1" si="29"/>
        <v>2</v>
      </c>
      <c r="D412" s="2">
        <f t="shared" ca="1" si="26"/>
        <v>4</v>
      </c>
      <c r="E412" s="2">
        <f t="shared" ca="1" si="27"/>
        <v>0</v>
      </c>
    </row>
    <row r="413" spans="1:5" x14ac:dyDescent="0.3">
      <c r="A413" s="3">
        <f t="shared" si="28"/>
        <v>411</v>
      </c>
      <c r="B413" s="3">
        <f t="shared" ca="1" si="29"/>
        <v>6</v>
      </c>
      <c r="C413" s="3">
        <f t="shared" ca="1" si="29"/>
        <v>5</v>
      </c>
      <c r="D413" s="2">
        <f t="shared" ca="1" si="26"/>
        <v>11</v>
      </c>
      <c r="E413" s="2">
        <f t="shared" ca="1" si="27"/>
        <v>1</v>
      </c>
    </row>
    <row r="414" spans="1:5" x14ac:dyDescent="0.3">
      <c r="A414" s="3">
        <f t="shared" si="28"/>
        <v>412</v>
      </c>
      <c r="B414" s="3">
        <f t="shared" ca="1" si="29"/>
        <v>1</v>
      </c>
      <c r="C414" s="3">
        <f t="shared" ca="1" si="29"/>
        <v>6</v>
      </c>
      <c r="D414" s="2">
        <f t="shared" ca="1" si="26"/>
        <v>7</v>
      </c>
      <c r="E414" s="2">
        <f t="shared" ca="1" si="27"/>
        <v>0</v>
      </c>
    </row>
    <row r="415" spans="1:5" x14ac:dyDescent="0.3">
      <c r="A415" s="3">
        <f t="shared" si="28"/>
        <v>413</v>
      </c>
      <c r="B415" s="3">
        <f t="shared" ca="1" si="29"/>
        <v>2</v>
      </c>
      <c r="C415" s="3">
        <f t="shared" ca="1" si="29"/>
        <v>5</v>
      </c>
      <c r="D415" s="2">
        <f t="shared" ca="1" si="26"/>
        <v>7</v>
      </c>
      <c r="E415" s="2">
        <f t="shared" ca="1" si="27"/>
        <v>0</v>
      </c>
    </row>
    <row r="416" spans="1:5" x14ac:dyDescent="0.3">
      <c r="A416" s="3">
        <f t="shared" si="28"/>
        <v>414</v>
      </c>
      <c r="B416" s="3">
        <f t="shared" ca="1" si="29"/>
        <v>5</v>
      </c>
      <c r="C416" s="3">
        <f t="shared" ca="1" si="29"/>
        <v>1</v>
      </c>
      <c r="D416" s="2">
        <f t="shared" ca="1" si="26"/>
        <v>6</v>
      </c>
      <c r="E416" s="2">
        <f t="shared" ca="1" si="27"/>
        <v>0</v>
      </c>
    </row>
    <row r="417" spans="1:5" x14ac:dyDescent="0.3">
      <c r="A417" s="3">
        <f t="shared" si="28"/>
        <v>415</v>
      </c>
      <c r="B417" s="3">
        <f t="shared" ca="1" si="29"/>
        <v>1</v>
      </c>
      <c r="C417" s="3">
        <f t="shared" ca="1" si="29"/>
        <v>4</v>
      </c>
      <c r="D417" s="2">
        <f t="shared" ca="1" si="26"/>
        <v>5</v>
      </c>
      <c r="E417" s="2">
        <f t="shared" ca="1" si="27"/>
        <v>0</v>
      </c>
    </row>
    <row r="418" spans="1:5" x14ac:dyDescent="0.3">
      <c r="A418" s="3">
        <f t="shared" si="28"/>
        <v>416</v>
      </c>
      <c r="B418" s="3">
        <f t="shared" ca="1" si="29"/>
        <v>1</v>
      </c>
      <c r="C418" s="3">
        <f t="shared" ca="1" si="29"/>
        <v>1</v>
      </c>
      <c r="D418" s="2">
        <f t="shared" ca="1" si="26"/>
        <v>2</v>
      </c>
      <c r="E418" s="2">
        <f t="shared" ca="1" si="27"/>
        <v>0</v>
      </c>
    </row>
    <row r="419" spans="1:5" x14ac:dyDescent="0.3">
      <c r="A419" s="3">
        <f t="shared" si="28"/>
        <v>417</v>
      </c>
      <c r="B419" s="3">
        <f t="shared" ca="1" si="29"/>
        <v>5</v>
      </c>
      <c r="C419" s="3">
        <f t="shared" ca="1" si="29"/>
        <v>4</v>
      </c>
      <c r="D419" s="2">
        <f t="shared" ca="1" si="26"/>
        <v>9</v>
      </c>
      <c r="E419" s="2">
        <f t="shared" ca="1" si="27"/>
        <v>1</v>
      </c>
    </row>
    <row r="420" spans="1:5" x14ac:dyDescent="0.3">
      <c r="A420" s="3">
        <f t="shared" si="28"/>
        <v>418</v>
      </c>
      <c r="B420" s="3">
        <f t="shared" ca="1" si="29"/>
        <v>5</v>
      </c>
      <c r="C420" s="3">
        <f t="shared" ca="1" si="29"/>
        <v>6</v>
      </c>
      <c r="D420" s="2">
        <f t="shared" ca="1" si="26"/>
        <v>11</v>
      </c>
      <c r="E420" s="2">
        <f t="shared" ca="1" si="27"/>
        <v>1</v>
      </c>
    </row>
    <row r="421" spans="1:5" x14ac:dyDescent="0.3">
      <c r="A421" s="3">
        <f t="shared" si="28"/>
        <v>419</v>
      </c>
      <c r="B421" s="3">
        <f t="shared" ca="1" si="29"/>
        <v>6</v>
      </c>
      <c r="C421" s="3">
        <f t="shared" ca="1" si="29"/>
        <v>5</v>
      </c>
      <c r="D421" s="2">
        <f t="shared" ca="1" si="26"/>
        <v>11</v>
      </c>
      <c r="E421" s="2">
        <f t="shared" ca="1" si="27"/>
        <v>1</v>
      </c>
    </row>
    <row r="422" spans="1:5" x14ac:dyDescent="0.3">
      <c r="A422" s="3">
        <f t="shared" si="28"/>
        <v>420</v>
      </c>
      <c r="B422" s="3">
        <f t="shared" ca="1" si="29"/>
        <v>2</v>
      </c>
      <c r="C422" s="3">
        <f t="shared" ca="1" si="29"/>
        <v>3</v>
      </c>
      <c r="D422" s="2">
        <f t="shared" ca="1" si="26"/>
        <v>5</v>
      </c>
      <c r="E422" s="2">
        <f t="shared" ca="1" si="27"/>
        <v>0</v>
      </c>
    </row>
    <row r="423" spans="1:5" x14ac:dyDescent="0.3">
      <c r="A423" s="3">
        <f t="shared" si="28"/>
        <v>421</v>
      </c>
      <c r="B423" s="3">
        <f t="shared" ca="1" si="29"/>
        <v>1</v>
      </c>
      <c r="C423" s="3">
        <f t="shared" ca="1" si="29"/>
        <v>4</v>
      </c>
      <c r="D423" s="2">
        <f t="shared" ca="1" si="26"/>
        <v>5</v>
      </c>
      <c r="E423" s="2">
        <f t="shared" ca="1" si="27"/>
        <v>0</v>
      </c>
    </row>
    <row r="424" spans="1:5" x14ac:dyDescent="0.3">
      <c r="A424" s="3">
        <f t="shared" si="28"/>
        <v>422</v>
      </c>
      <c r="B424" s="3">
        <f t="shared" ca="1" si="29"/>
        <v>3</v>
      </c>
      <c r="C424" s="3">
        <f t="shared" ca="1" si="29"/>
        <v>2</v>
      </c>
      <c r="D424" s="2">
        <f t="shared" ca="1" si="26"/>
        <v>5</v>
      </c>
      <c r="E424" s="2">
        <f t="shared" ca="1" si="27"/>
        <v>0</v>
      </c>
    </row>
    <row r="425" spans="1:5" x14ac:dyDescent="0.3">
      <c r="A425" s="3">
        <f t="shared" si="28"/>
        <v>423</v>
      </c>
      <c r="B425" s="3">
        <f t="shared" ca="1" si="29"/>
        <v>1</v>
      </c>
      <c r="C425" s="3">
        <f t="shared" ca="1" si="29"/>
        <v>3</v>
      </c>
      <c r="D425" s="2">
        <f t="shared" ca="1" si="26"/>
        <v>4</v>
      </c>
      <c r="E425" s="2">
        <f t="shared" ca="1" si="27"/>
        <v>0</v>
      </c>
    </row>
    <row r="426" spans="1:5" x14ac:dyDescent="0.3">
      <c r="A426" s="3">
        <f t="shared" si="28"/>
        <v>424</v>
      </c>
      <c r="B426" s="3">
        <f t="shared" ca="1" si="29"/>
        <v>5</v>
      </c>
      <c r="C426" s="3">
        <f t="shared" ca="1" si="29"/>
        <v>2</v>
      </c>
      <c r="D426" s="2">
        <f t="shared" ca="1" si="26"/>
        <v>7</v>
      </c>
      <c r="E426" s="2">
        <f t="shared" ca="1" si="27"/>
        <v>0</v>
      </c>
    </row>
    <row r="427" spans="1:5" x14ac:dyDescent="0.3">
      <c r="A427" s="3">
        <f t="shared" si="28"/>
        <v>425</v>
      </c>
      <c r="B427" s="3">
        <f t="shared" ca="1" si="29"/>
        <v>6</v>
      </c>
      <c r="C427" s="3">
        <f t="shared" ca="1" si="29"/>
        <v>4</v>
      </c>
      <c r="D427" s="2">
        <f t="shared" ca="1" si="26"/>
        <v>10</v>
      </c>
      <c r="E427" s="2">
        <f t="shared" ca="1" si="27"/>
        <v>1</v>
      </c>
    </row>
    <row r="428" spans="1:5" x14ac:dyDescent="0.3">
      <c r="A428" s="3">
        <f t="shared" si="28"/>
        <v>426</v>
      </c>
      <c r="B428" s="3">
        <f t="shared" ca="1" si="29"/>
        <v>3</v>
      </c>
      <c r="C428" s="3">
        <f t="shared" ca="1" si="29"/>
        <v>1</v>
      </c>
      <c r="D428" s="2">
        <f t="shared" ca="1" si="26"/>
        <v>4</v>
      </c>
      <c r="E428" s="2">
        <f t="shared" ca="1" si="27"/>
        <v>0</v>
      </c>
    </row>
    <row r="429" spans="1:5" x14ac:dyDescent="0.3">
      <c r="A429" s="3">
        <f t="shared" si="28"/>
        <v>427</v>
      </c>
      <c r="B429" s="3">
        <f t="shared" ca="1" si="29"/>
        <v>5</v>
      </c>
      <c r="C429" s="3">
        <f t="shared" ca="1" si="29"/>
        <v>5</v>
      </c>
      <c r="D429" s="2">
        <f t="shared" ca="1" si="26"/>
        <v>10</v>
      </c>
      <c r="E429" s="2">
        <f t="shared" ca="1" si="27"/>
        <v>1</v>
      </c>
    </row>
    <row r="430" spans="1:5" x14ac:dyDescent="0.3">
      <c r="A430" s="3">
        <f t="shared" si="28"/>
        <v>428</v>
      </c>
      <c r="B430" s="3">
        <f t="shared" ca="1" si="29"/>
        <v>1</v>
      </c>
      <c r="C430" s="3">
        <f t="shared" ca="1" si="29"/>
        <v>1</v>
      </c>
      <c r="D430" s="2">
        <f t="shared" ca="1" si="26"/>
        <v>2</v>
      </c>
      <c r="E430" s="2">
        <f t="shared" ca="1" si="27"/>
        <v>0</v>
      </c>
    </row>
    <row r="431" spans="1:5" x14ac:dyDescent="0.3">
      <c r="A431" s="3">
        <f t="shared" si="28"/>
        <v>429</v>
      </c>
      <c r="B431" s="3">
        <f t="shared" ca="1" si="29"/>
        <v>6</v>
      </c>
      <c r="C431" s="3">
        <f t="shared" ca="1" si="29"/>
        <v>4</v>
      </c>
      <c r="D431" s="2">
        <f t="shared" ca="1" si="26"/>
        <v>10</v>
      </c>
      <c r="E431" s="2">
        <f t="shared" ca="1" si="27"/>
        <v>1</v>
      </c>
    </row>
    <row r="432" spans="1:5" x14ac:dyDescent="0.3">
      <c r="A432" s="3">
        <f t="shared" si="28"/>
        <v>430</v>
      </c>
      <c r="B432" s="3">
        <f t="shared" ca="1" si="29"/>
        <v>5</v>
      </c>
      <c r="C432" s="3">
        <f t="shared" ca="1" si="29"/>
        <v>3</v>
      </c>
      <c r="D432" s="2">
        <f t="shared" ca="1" si="26"/>
        <v>8</v>
      </c>
      <c r="E432" s="2">
        <f t="shared" ca="1" si="27"/>
        <v>1</v>
      </c>
    </row>
    <row r="433" spans="1:5" x14ac:dyDescent="0.3">
      <c r="A433" s="3">
        <f t="shared" si="28"/>
        <v>431</v>
      </c>
      <c r="B433" s="3">
        <f t="shared" ca="1" si="29"/>
        <v>3</v>
      </c>
      <c r="C433" s="3">
        <f t="shared" ca="1" si="29"/>
        <v>1</v>
      </c>
      <c r="D433" s="2">
        <f t="shared" ca="1" si="26"/>
        <v>4</v>
      </c>
      <c r="E433" s="2">
        <f t="shared" ca="1" si="27"/>
        <v>0</v>
      </c>
    </row>
    <row r="434" spans="1:5" x14ac:dyDescent="0.3">
      <c r="A434" s="3">
        <f t="shared" si="28"/>
        <v>432</v>
      </c>
      <c r="B434" s="3">
        <f t="shared" ca="1" si="29"/>
        <v>1</v>
      </c>
      <c r="C434" s="3">
        <f t="shared" ca="1" si="29"/>
        <v>1</v>
      </c>
      <c r="D434" s="2">
        <f t="shared" ca="1" si="26"/>
        <v>2</v>
      </c>
      <c r="E434" s="2">
        <f t="shared" ca="1" si="27"/>
        <v>0</v>
      </c>
    </row>
    <row r="435" spans="1:5" x14ac:dyDescent="0.3">
      <c r="A435" s="3">
        <f t="shared" si="28"/>
        <v>433</v>
      </c>
      <c r="B435" s="3">
        <f t="shared" ca="1" si="29"/>
        <v>4</v>
      </c>
      <c r="C435" s="3">
        <f t="shared" ca="1" si="29"/>
        <v>2</v>
      </c>
      <c r="D435" s="2">
        <f t="shared" ca="1" si="26"/>
        <v>6</v>
      </c>
      <c r="E435" s="2">
        <f t="shared" ca="1" si="27"/>
        <v>0</v>
      </c>
    </row>
    <row r="436" spans="1:5" x14ac:dyDescent="0.3">
      <c r="A436" s="3">
        <f t="shared" si="28"/>
        <v>434</v>
      </c>
      <c r="B436" s="3">
        <f t="shared" ca="1" si="29"/>
        <v>2</v>
      </c>
      <c r="C436" s="3">
        <f t="shared" ca="1" si="29"/>
        <v>5</v>
      </c>
      <c r="D436" s="2">
        <f t="shared" ca="1" si="26"/>
        <v>7</v>
      </c>
      <c r="E436" s="2">
        <f t="shared" ca="1" si="27"/>
        <v>0</v>
      </c>
    </row>
    <row r="437" spans="1:5" x14ac:dyDescent="0.3">
      <c r="A437" s="3">
        <f t="shared" si="28"/>
        <v>435</v>
      </c>
      <c r="B437" s="3">
        <f t="shared" ca="1" si="29"/>
        <v>5</v>
      </c>
      <c r="C437" s="3">
        <f t="shared" ca="1" si="29"/>
        <v>6</v>
      </c>
      <c r="D437" s="2">
        <f t="shared" ca="1" si="26"/>
        <v>11</v>
      </c>
      <c r="E437" s="2">
        <f t="shared" ca="1" si="27"/>
        <v>1</v>
      </c>
    </row>
    <row r="438" spans="1:5" x14ac:dyDescent="0.3">
      <c r="A438" s="3">
        <f t="shared" si="28"/>
        <v>436</v>
      </c>
      <c r="B438" s="3">
        <f t="shared" ca="1" si="29"/>
        <v>1</v>
      </c>
      <c r="C438" s="3">
        <f t="shared" ca="1" si="29"/>
        <v>2</v>
      </c>
      <c r="D438" s="2">
        <f t="shared" ca="1" si="26"/>
        <v>3</v>
      </c>
      <c r="E438" s="2">
        <f t="shared" ca="1" si="27"/>
        <v>0</v>
      </c>
    </row>
    <row r="439" spans="1:5" x14ac:dyDescent="0.3">
      <c r="A439" s="3">
        <f t="shared" si="28"/>
        <v>437</v>
      </c>
      <c r="B439" s="3">
        <f t="shared" ca="1" si="29"/>
        <v>2</v>
      </c>
      <c r="C439" s="3">
        <f t="shared" ca="1" si="29"/>
        <v>6</v>
      </c>
      <c r="D439" s="2">
        <f t="shared" ca="1" si="26"/>
        <v>8</v>
      </c>
      <c r="E439" s="2">
        <f t="shared" ca="1" si="27"/>
        <v>1</v>
      </c>
    </row>
    <row r="440" spans="1:5" x14ac:dyDescent="0.3">
      <c r="A440" s="3">
        <f t="shared" si="28"/>
        <v>438</v>
      </c>
      <c r="B440" s="3">
        <f t="shared" ca="1" si="29"/>
        <v>1</v>
      </c>
      <c r="C440" s="3">
        <f t="shared" ca="1" si="29"/>
        <v>2</v>
      </c>
      <c r="D440" s="2">
        <f t="shared" ca="1" si="26"/>
        <v>3</v>
      </c>
      <c r="E440" s="2">
        <f t="shared" ca="1" si="27"/>
        <v>0</v>
      </c>
    </row>
    <row r="441" spans="1:5" x14ac:dyDescent="0.3">
      <c r="A441" s="3">
        <f t="shared" si="28"/>
        <v>439</v>
      </c>
      <c r="B441" s="3">
        <f t="shared" ca="1" si="29"/>
        <v>1</v>
      </c>
      <c r="C441" s="3">
        <f t="shared" ca="1" si="29"/>
        <v>5</v>
      </c>
      <c r="D441" s="2">
        <f t="shared" ca="1" si="26"/>
        <v>6</v>
      </c>
      <c r="E441" s="2">
        <f t="shared" ca="1" si="27"/>
        <v>0</v>
      </c>
    </row>
    <row r="442" spans="1:5" x14ac:dyDescent="0.3">
      <c r="A442" s="3">
        <f t="shared" si="28"/>
        <v>440</v>
      </c>
      <c r="B442" s="3">
        <f t="shared" ca="1" si="29"/>
        <v>5</v>
      </c>
      <c r="C442" s="3">
        <f t="shared" ca="1" si="29"/>
        <v>1</v>
      </c>
      <c r="D442" s="2">
        <f t="shared" ca="1" si="26"/>
        <v>6</v>
      </c>
      <c r="E442" s="2">
        <f t="shared" ca="1" si="27"/>
        <v>0</v>
      </c>
    </row>
    <row r="443" spans="1:5" x14ac:dyDescent="0.3">
      <c r="A443" s="3">
        <f t="shared" si="28"/>
        <v>441</v>
      </c>
      <c r="B443" s="3">
        <f t="shared" ca="1" si="29"/>
        <v>4</v>
      </c>
      <c r="C443" s="3">
        <f t="shared" ca="1" si="29"/>
        <v>1</v>
      </c>
      <c r="D443" s="2">
        <f t="shared" ca="1" si="26"/>
        <v>5</v>
      </c>
      <c r="E443" s="2">
        <f t="shared" ca="1" si="27"/>
        <v>0</v>
      </c>
    </row>
    <row r="444" spans="1:5" x14ac:dyDescent="0.3">
      <c r="A444" s="3">
        <f t="shared" si="28"/>
        <v>442</v>
      </c>
      <c r="B444" s="3">
        <f t="shared" ca="1" si="29"/>
        <v>3</v>
      </c>
      <c r="C444" s="3">
        <f t="shared" ca="1" si="29"/>
        <v>2</v>
      </c>
      <c r="D444" s="2">
        <f t="shared" ca="1" si="26"/>
        <v>5</v>
      </c>
      <c r="E444" s="2">
        <f t="shared" ca="1" si="27"/>
        <v>0</v>
      </c>
    </row>
    <row r="445" spans="1:5" x14ac:dyDescent="0.3">
      <c r="A445" s="3">
        <f t="shared" si="28"/>
        <v>443</v>
      </c>
      <c r="B445" s="3">
        <f t="shared" ca="1" si="29"/>
        <v>4</v>
      </c>
      <c r="C445" s="3">
        <f t="shared" ca="1" si="29"/>
        <v>1</v>
      </c>
      <c r="D445" s="2">
        <f t="shared" ca="1" si="26"/>
        <v>5</v>
      </c>
      <c r="E445" s="2">
        <f t="shared" ca="1" si="27"/>
        <v>0</v>
      </c>
    </row>
    <row r="446" spans="1:5" x14ac:dyDescent="0.3">
      <c r="A446" s="3">
        <f t="shared" si="28"/>
        <v>444</v>
      </c>
      <c r="B446" s="3">
        <f t="shared" ca="1" si="29"/>
        <v>5</v>
      </c>
      <c r="C446" s="3">
        <f t="shared" ca="1" si="29"/>
        <v>3</v>
      </c>
      <c r="D446" s="2">
        <f t="shared" ca="1" si="26"/>
        <v>8</v>
      </c>
      <c r="E446" s="2">
        <f t="shared" ca="1" si="27"/>
        <v>1</v>
      </c>
    </row>
    <row r="447" spans="1:5" x14ac:dyDescent="0.3">
      <c r="A447" s="3">
        <f t="shared" si="28"/>
        <v>445</v>
      </c>
      <c r="B447" s="3">
        <f t="shared" ca="1" si="29"/>
        <v>1</v>
      </c>
      <c r="C447" s="3">
        <f t="shared" ca="1" si="29"/>
        <v>6</v>
      </c>
      <c r="D447" s="2">
        <f t="shared" ca="1" si="26"/>
        <v>7</v>
      </c>
      <c r="E447" s="2">
        <f t="shared" ca="1" si="27"/>
        <v>0</v>
      </c>
    </row>
    <row r="448" spans="1:5" x14ac:dyDescent="0.3">
      <c r="A448" s="3">
        <f t="shared" si="28"/>
        <v>446</v>
      </c>
      <c r="B448" s="3">
        <f t="shared" ca="1" si="29"/>
        <v>5</v>
      </c>
      <c r="C448" s="3">
        <f t="shared" ca="1" si="29"/>
        <v>3</v>
      </c>
      <c r="D448" s="2">
        <f t="shared" ca="1" si="26"/>
        <v>8</v>
      </c>
      <c r="E448" s="2">
        <f t="shared" ca="1" si="27"/>
        <v>1</v>
      </c>
    </row>
    <row r="449" spans="1:5" x14ac:dyDescent="0.3">
      <c r="A449" s="3">
        <f t="shared" si="28"/>
        <v>447</v>
      </c>
      <c r="B449" s="3">
        <f t="shared" ca="1" si="29"/>
        <v>4</v>
      </c>
      <c r="C449" s="3">
        <f t="shared" ca="1" si="29"/>
        <v>6</v>
      </c>
      <c r="D449" s="2">
        <f t="shared" ca="1" si="26"/>
        <v>10</v>
      </c>
      <c r="E449" s="2">
        <f t="shared" ca="1" si="27"/>
        <v>1</v>
      </c>
    </row>
    <row r="450" spans="1:5" x14ac:dyDescent="0.3">
      <c r="A450" s="3">
        <f t="shared" si="28"/>
        <v>448</v>
      </c>
      <c r="B450" s="3">
        <f t="shared" ca="1" si="29"/>
        <v>6</v>
      </c>
      <c r="C450" s="3">
        <f t="shared" ca="1" si="29"/>
        <v>5</v>
      </c>
      <c r="D450" s="2">
        <f t="shared" ca="1" si="26"/>
        <v>11</v>
      </c>
      <c r="E450" s="2">
        <f t="shared" ca="1" si="27"/>
        <v>1</v>
      </c>
    </row>
    <row r="451" spans="1:5" x14ac:dyDescent="0.3">
      <c r="A451" s="3">
        <f t="shared" si="28"/>
        <v>449</v>
      </c>
      <c r="B451" s="3">
        <f t="shared" ca="1" si="29"/>
        <v>4</v>
      </c>
      <c r="C451" s="3">
        <f t="shared" ca="1" si="29"/>
        <v>2</v>
      </c>
      <c r="D451" s="2">
        <f t="shared" ca="1" si="26"/>
        <v>6</v>
      </c>
      <c r="E451" s="2">
        <f t="shared" ca="1" si="27"/>
        <v>0</v>
      </c>
    </row>
    <row r="452" spans="1:5" x14ac:dyDescent="0.3">
      <c r="A452" s="3">
        <f t="shared" si="28"/>
        <v>450</v>
      </c>
      <c r="B452" s="3">
        <f t="shared" ca="1" si="29"/>
        <v>2</v>
      </c>
      <c r="C452" s="3">
        <f t="shared" ca="1" si="29"/>
        <v>1</v>
      </c>
      <c r="D452" s="2">
        <f t="shared" ref="D452:D515" ca="1" si="30">C452+B452</f>
        <v>3</v>
      </c>
      <c r="E452" s="2">
        <f t="shared" ref="E452:E515" ca="1" si="31">IF(D452&gt;=8,1,0)</f>
        <v>0</v>
      </c>
    </row>
    <row r="453" spans="1:5" x14ac:dyDescent="0.3">
      <c r="A453" s="3">
        <f t="shared" ref="A453:A516" si="32">A452+1</f>
        <v>451</v>
      </c>
      <c r="B453" s="3">
        <f t="shared" ref="B453:C516" ca="1" si="33">RANDBETWEEN(1,6)</f>
        <v>4</v>
      </c>
      <c r="C453" s="3">
        <f t="shared" ca="1" si="33"/>
        <v>3</v>
      </c>
      <c r="D453" s="2">
        <f t="shared" ca="1" si="30"/>
        <v>7</v>
      </c>
      <c r="E453" s="2">
        <f t="shared" ca="1" si="31"/>
        <v>0</v>
      </c>
    </row>
    <row r="454" spans="1:5" x14ac:dyDescent="0.3">
      <c r="A454" s="3">
        <f t="shared" si="32"/>
        <v>452</v>
      </c>
      <c r="B454" s="3">
        <f t="shared" ca="1" si="33"/>
        <v>5</v>
      </c>
      <c r="C454" s="3">
        <f t="shared" ca="1" si="33"/>
        <v>6</v>
      </c>
      <c r="D454" s="2">
        <f t="shared" ca="1" si="30"/>
        <v>11</v>
      </c>
      <c r="E454" s="2">
        <f t="shared" ca="1" si="31"/>
        <v>1</v>
      </c>
    </row>
    <row r="455" spans="1:5" x14ac:dyDescent="0.3">
      <c r="A455" s="3">
        <f t="shared" si="32"/>
        <v>453</v>
      </c>
      <c r="B455" s="3">
        <f t="shared" ca="1" si="33"/>
        <v>4</v>
      </c>
      <c r="C455" s="3">
        <f t="shared" ca="1" si="33"/>
        <v>6</v>
      </c>
      <c r="D455" s="2">
        <f t="shared" ca="1" si="30"/>
        <v>10</v>
      </c>
      <c r="E455" s="2">
        <f t="shared" ca="1" si="31"/>
        <v>1</v>
      </c>
    </row>
    <row r="456" spans="1:5" x14ac:dyDescent="0.3">
      <c r="A456" s="3">
        <f t="shared" si="32"/>
        <v>454</v>
      </c>
      <c r="B456" s="3">
        <f t="shared" ca="1" si="33"/>
        <v>5</v>
      </c>
      <c r="C456" s="3">
        <f t="shared" ca="1" si="33"/>
        <v>4</v>
      </c>
      <c r="D456" s="2">
        <f t="shared" ca="1" si="30"/>
        <v>9</v>
      </c>
      <c r="E456" s="2">
        <f t="shared" ca="1" si="31"/>
        <v>1</v>
      </c>
    </row>
    <row r="457" spans="1:5" x14ac:dyDescent="0.3">
      <c r="A457" s="3">
        <f t="shared" si="32"/>
        <v>455</v>
      </c>
      <c r="B457" s="3">
        <f t="shared" ca="1" si="33"/>
        <v>5</v>
      </c>
      <c r="C457" s="3">
        <f t="shared" ca="1" si="33"/>
        <v>6</v>
      </c>
      <c r="D457" s="2">
        <f t="shared" ca="1" si="30"/>
        <v>11</v>
      </c>
      <c r="E457" s="2">
        <f t="shared" ca="1" si="31"/>
        <v>1</v>
      </c>
    </row>
    <row r="458" spans="1:5" x14ac:dyDescent="0.3">
      <c r="A458" s="3">
        <f t="shared" si="32"/>
        <v>456</v>
      </c>
      <c r="B458" s="3">
        <f t="shared" ca="1" si="33"/>
        <v>1</v>
      </c>
      <c r="C458" s="3">
        <f t="shared" ca="1" si="33"/>
        <v>5</v>
      </c>
      <c r="D458" s="2">
        <f t="shared" ca="1" si="30"/>
        <v>6</v>
      </c>
      <c r="E458" s="2">
        <f t="shared" ca="1" si="31"/>
        <v>0</v>
      </c>
    </row>
    <row r="459" spans="1:5" x14ac:dyDescent="0.3">
      <c r="A459" s="3">
        <f t="shared" si="32"/>
        <v>457</v>
      </c>
      <c r="B459" s="3">
        <f t="shared" ca="1" si="33"/>
        <v>2</v>
      </c>
      <c r="C459" s="3">
        <f t="shared" ca="1" si="33"/>
        <v>3</v>
      </c>
      <c r="D459" s="2">
        <f t="shared" ca="1" si="30"/>
        <v>5</v>
      </c>
      <c r="E459" s="2">
        <f t="shared" ca="1" si="31"/>
        <v>0</v>
      </c>
    </row>
    <row r="460" spans="1:5" x14ac:dyDescent="0.3">
      <c r="A460" s="3">
        <f t="shared" si="32"/>
        <v>458</v>
      </c>
      <c r="B460" s="3">
        <f t="shared" ca="1" si="33"/>
        <v>3</v>
      </c>
      <c r="C460" s="3">
        <f t="shared" ca="1" si="33"/>
        <v>4</v>
      </c>
      <c r="D460" s="2">
        <f t="shared" ca="1" si="30"/>
        <v>7</v>
      </c>
      <c r="E460" s="2">
        <f t="shared" ca="1" si="31"/>
        <v>0</v>
      </c>
    </row>
    <row r="461" spans="1:5" x14ac:dyDescent="0.3">
      <c r="A461" s="3">
        <f t="shared" si="32"/>
        <v>459</v>
      </c>
      <c r="B461" s="3">
        <f t="shared" ca="1" si="33"/>
        <v>3</v>
      </c>
      <c r="C461" s="3">
        <f t="shared" ca="1" si="33"/>
        <v>6</v>
      </c>
      <c r="D461" s="2">
        <f t="shared" ca="1" si="30"/>
        <v>9</v>
      </c>
      <c r="E461" s="2">
        <f t="shared" ca="1" si="31"/>
        <v>1</v>
      </c>
    </row>
    <row r="462" spans="1:5" x14ac:dyDescent="0.3">
      <c r="A462" s="3">
        <f t="shared" si="32"/>
        <v>460</v>
      </c>
      <c r="B462" s="3">
        <f t="shared" ca="1" si="33"/>
        <v>3</v>
      </c>
      <c r="C462" s="3">
        <f t="shared" ca="1" si="33"/>
        <v>4</v>
      </c>
      <c r="D462" s="2">
        <f t="shared" ca="1" si="30"/>
        <v>7</v>
      </c>
      <c r="E462" s="2">
        <f t="shared" ca="1" si="31"/>
        <v>0</v>
      </c>
    </row>
    <row r="463" spans="1:5" x14ac:dyDescent="0.3">
      <c r="A463" s="3">
        <f t="shared" si="32"/>
        <v>461</v>
      </c>
      <c r="B463" s="3">
        <f t="shared" ca="1" si="33"/>
        <v>5</v>
      </c>
      <c r="C463" s="3">
        <f t="shared" ca="1" si="33"/>
        <v>6</v>
      </c>
      <c r="D463" s="2">
        <f t="shared" ca="1" si="30"/>
        <v>11</v>
      </c>
      <c r="E463" s="2">
        <f t="shared" ca="1" si="31"/>
        <v>1</v>
      </c>
    </row>
    <row r="464" spans="1:5" x14ac:dyDescent="0.3">
      <c r="A464" s="3">
        <f t="shared" si="32"/>
        <v>462</v>
      </c>
      <c r="B464" s="3">
        <f t="shared" ca="1" si="33"/>
        <v>2</v>
      </c>
      <c r="C464" s="3">
        <f t="shared" ca="1" si="33"/>
        <v>6</v>
      </c>
      <c r="D464" s="2">
        <f t="shared" ca="1" si="30"/>
        <v>8</v>
      </c>
      <c r="E464" s="2">
        <f t="shared" ca="1" si="31"/>
        <v>1</v>
      </c>
    </row>
    <row r="465" spans="1:5" x14ac:dyDescent="0.3">
      <c r="A465" s="3">
        <f t="shared" si="32"/>
        <v>463</v>
      </c>
      <c r="B465" s="3">
        <f t="shared" ca="1" si="33"/>
        <v>5</v>
      </c>
      <c r="C465" s="3">
        <f t="shared" ca="1" si="33"/>
        <v>1</v>
      </c>
      <c r="D465" s="2">
        <f t="shared" ca="1" si="30"/>
        <v>6</v>
      </c>
      <c r="E465" s="2">
        <f t="shared" ca="1" si="31"/>
        <v>0</v>
      </c>
    </row>
    <row r="466" spans="1:5" x14ac:dyDescent="0.3">
      <c r="A466" s="3">
        <f t="shared" si="32"/>
        <v>464</v>
      </c>
      <c r="B466" s="3">
        <f t="shared" ca="1" si="33"/>
        <v>2</v>
      </c>
      <c r="C466" s="3">
        <f t="shared" ca="1" si="33"/>
        <v>1</v>
      </c>
      <c r="D466" s="2">
        <f t="shared" ca="1" si="30"/>
        <v>3</v>
      </c>
      <c r="E466" s="2">
        <f t="shared" ca="1" si="31"/>
        <v>0</v>
      </c>
    </row>
    <row r="467" spans="1:5" x14ac:dyDescent="0.3">
      <c r="A467" s="3">
        <f t="shared" si="32"/>
        <v>465</v>
      </c>
      <c r="B467" s="3">
        <f t="shared" ca="1" si="33"/>
        <v>4</v>
      </c>
      <c r="C467" s="3">
        <f t="shared" ca="1" si="33"/>
        <v>1</v>
      </c>
      <c r="D467" s="2">
        <f t="shared" ca="1" si="30"/>
        <v>5</v>
      </c>
      <c r="E467" s="2">
        <f t="shared" ca="1" si="31"/>
        <v>0</v>
      </c>
    </row>
    <row r="468" spans="1:5" x14ac:dyDescent="0.3">
      <c r="A468" s="3">
        <f t="shared" si="32"/>
        <v>466</v>
      </c>
      <c r="B468" s="3">
        <f t="shared" ca="1" si="33"/>
        <v>2</v>
      </c>
      <c r="C468" s="3">
        <f t="shared" ca="1" si="33"/>
        <v>4</v>
      </c>
      <c r="D468" s="2">
        <f t="shared" ca="1" si="30"/>
        <v>6</v>
      </c>
      <c r="E468" s="2">
        <f t="shared" ca="1" si="31"/>
        <v>0</v>
      </c>
    </row>
    <row r="469" spans="1:5" x14ac:dyDescent="0.3">
      <c r="A469" s="3">
        <f t="shared" si="32"/>
        <v>467</v>
      </c>
      <c r="B469" s="3">
        <f t="shared" ca="1" si="33"/>
        <v>3</v>
      </c>
      <c r="C469" s="3">
        <f t="shared" ca="1" si="33"/>
        <v>2</v>
      </c>
      <c r="D469" s="2">
        <f t="shared" ca="1" si="30"/>
        <v>5</v>
      </c>
      <c r="E469" s="2">
        <f t="shared" ca="1" si="31"/>
        <v>0</v>
      </c>
    </row>
    <row r="470" spans="1:5" x14ac:dyDescent="0.3">
      <c r="A470" s="3">
        <f t="shared" si="32"/>
        <v>468</v>
      </c>
      <c r="B470" s="3">
        <f t="shared" ca="1" si="33"/>
        <v>6</v>
      </c>
      <c r="C470" s="3">
        <f t="shared" ca="1" si="33"/>
        <v>2</v>
      </c>
      <c r="D470" s="2">
        <f t="shared" ca="1" si="30"/>
        <v>8</v>
      </c>
      <c r="E470" s="2">
        <f t="shared" ca="1" si="31"/>
        <v>1</v>
      </c>
    </row>
    <row r="471" spans="1:5" x14ac:dyDescent="0.3">
      <c r="A471" s="3">
        <f t="shared" si="32"/>
        <v>469</v>
      </c>
      <c r="B471" s="3">
        <f t="shared" ca="1" si="33"/>
        <v>1</v>
      </c>
      <c r="C471" s="3">
        <f t="shared" ca="1" si="33"/>
        <v>6</v>
      </c>
      <c r="D471" s="2">
        <f t="shared" ca="1" si="30"/>
        <v>7</v>
      </c>
      <c r="E471" s="2">
        <f t="shared" ca="1" si="31"/>
        <v>0</v>
      </c>
    </row>
    <row r="472" spans="1:5" x14ac:dyDescent="0.3">
      <c r="A472" s="3">
        <f t="shared" si="32"/>
        <v>470</v>
      </c>
      <c r="B472" s="3">
        <f t="shared" ca="1" si="33"/>
        <v>3</v>
      </c>
      <c r="C472" s="3">
        <f t="shared" ca="1" si="33"/>
        <v>4</v>
      </c>
      <c r="D472" s="2">
        <f t="shared" ca="1" si="30"/>
        <v>7</v>
      </c>
      <c r="E472" s="2">
        <f t="shared" ca="1" si="31"/>
        <v>0</v>
      </c>
    </row>
    <row r="473" spans="1:5" x14ac:dyDescent="0.3">
      <c r="A473" s="3">
        <f t="shared" si="32"/>
        <v>471</v>
      </c>
      <c r="B473" s="3">
        <f t="shared" ca="1" si="33"/>
        <v>6</v>
      </c>
      <c r="C473" s="3">
        <f t="shared" ca="1" si="33"/>
        <v>2</v>
      </c>
      <c r="D473" s="2">
        <f t="shared" ca="1" si="30"/>
        <v>8</v>
      </c>
      <c r="E473" s="2">
        <f t="shared" ca="1" si="31"/>
        <v>1</v>
      </c>
    </row>
    <row r="474" spans="1:5" x14ac:dyDescent="0.3">
      <c r="A474" s="3">
        <f t="shared" si="32"/>
        <v>472</v>
      </c>
      <c r="B474" s="3">
        <f t="shared" ca="1" si="33"/>
        <v>4</v>
      </c>
      <c r="C474" s="3">
        <f t="shared" ca="1" si="33"/>
        <v>4</v>
      </c>
      <c r="D474" s="2">
        <f t="shared" ca="1" si="30"/>
        <v>8</v>
      </c>
      <c r="E474" s="2">
        <f t="shared" ca="1" si="31"/>
        <v>1</v>
      </c>
    </row>
    <row r="475" spans="1:5" x14ac:dyDescent="0.3">
      <c r="A475" s="3">
        <f t="shared" si="32"/>
        <v>473</v>
      </c>
      <c r="B475" s="3">
        <f t="shared" ca="1" si="33"/>
        <v>4</v>
      </c>
      <c r="C475" s="3">
        <f t="shared" ca="1" si="33"/>
        <v>3</v>
      </c>
      <c r="D475" s="2">
        <f t="shared" ca="1" si="30"/>
        <v>7</v>
      </c>
      <c r="E475" s="2">
        <f t="shared" ca="1" si="31"/>
        <v>0</v>
      </c>
    </row>
    <row r="476" spans="1:5" x14ac:dyDescent="0.3">
      <c r="A476" s="3">
        <f t="shared" si="32"/>
        <v>474</v>
      </c>
      <c r="B476" s="3">
        <f t="shared" ca="1" si="33"/>
        <v>2</v>
      </c>
      <c r="C476" s="3">
        <f t="shared" ca="1" si="33"/>
        <v>1</v>
      </c>
      <c r="D476" s="2">
        <f t="shared" ca="1" si="30"/>
        <v>3</v>
      </c>
      <c r="E476" s="2">
        <f t="shared" ca="1" si="31"/>
        <v>0</v>
      </c>
    </row>
    <row r="477" spans="1:5" x14ac:dyDescent="0.3">
      <c r="A477" s="3">
        <f t="shared" si="32"/>
        <v>475</v>
      </c>
      <c r="B477" s="3">
        <f t="shared" ca="1" si="33"/>
        <v>6</v>
      </c>
      <c r="C477" s="3">
        <f t="shared" ca="1" si="33"/>
        <v>1</v>
      </c>
      <c r="D477" s="2">
        <f t="shared" ca="1" si="30"/>
        <v>7</v>
      </c>
      <c r="E477" s="2">
        <f t="shared" ca="1" si="31"/>
        <v>0</v>
      </c>
    </row>
    <row r="478" spans="1:5" x14ac:dyDescent="0.3">
      <c r="A478" s="3">
        <f t="shared" si="32"/>
        <v>476</v>
      </c>
      <c r="B478" s="3">
        <f t="shared" ca="1" si="33"/>
        <v>5</v>
      </c>
      <c r="C478" s="3">
        <f t="shared" ca="1" si="33"/>
        <v>1</v>
      </c>
      <c r="D478" s="2">
        <f t="shared" ca="1" si="30"/>
        <v>6</v>
      </c>
      <c r="E478" s="2">
        <f t="shared" ca="1" si="31"/>
        <v>0</v>
      </c>
    </row>
    <row r="479" spans="1:5" x14ac:dyDescent="0.3">
      <c r="A479" s="3">
        <f t="shared" si="32"/>
        <v>477</v>
      </c>
      <c r="B479" s="3">
        <f t="shared" ca="1" si="33"/>
        <v>1</v>
      </c>
      <c r="C479" s="3">
        <f t="shared" ca="1" si="33"/>
        <v>1</v>
      </c>
      <c r="D479" s="2">
        <f t="shared" ca="1" si="30"/>
        <v>2</v>
      </c>
      <c r="E479" s="2">
        <f t="shared" ca="1" si="31"/>
        <v>0</v>
      </c>
    </row>
    <row r="480" spans="1:5" x14ac:dyDescent="0.3">
      <c r="A480" s="3">
        <f t="shared" si="32"/>
        <v>478</v>
      </c>
      <c r="B480" s="3">
        <f t="shared" ca="1" si="33"/>
        <v>6</v>
      </c>
      <c r="C480" s="3">
        <f t="shared" ca="1" si="33"/>
        <v>4</v>
      </c>
      <c r="D480" s="2">
        <f t="shared" ca="1" si="30"/>
        <v>10</v>
      </c>
      <c r="E480" s="2">
        <f t="shared" ca="1" si="31"/>
        <v>1</v>
      </c>
    </row>
    <row r="481" spans="1:5" x14ac:dyDescent="0.3">
      <c r="A481" s="3">
        <f t="shared" si="32"/>
        <v>479</v>
      </c>
      <c r="B481" s="3">
        <f t="shared" ca="1" si="33"/>
        <v>2</v>
      </c>
      <c r="C481" s="3">
        <f t="shared" ca="1" si="33"/>
        <v>1</v>
      </c>
      <c r="D481" s="2">
        <f t="shared" ca="1" si="30"/>
        <v>3</v>
      </c>
      <c r="E481" s="2">
        <f t="shared" ca="1" si="31"/>
        <v>0</v>
      </c>
    </row>
    <row r="482" spans="1:5" x14ac:dyDescent="0.3">
      <c r="A482" s="3">
        <f t="shared" si="32"/>
        <v>480</v>
      </c>
      <c r="B482" s="3">
        <f t="shared" ca="1" si="33"/>
        <v>6</v>
      </c>
      <c r="C482" s="3">
        <f t="shared" ca="1" si="33"/>
        <v>5</v>
      </c>
      <c r="D482" s="2">
        <f t="shared" ca="1" si="30"/>
        <v>11</v>
      </c>
      <c r="E482" s="2">
        <f t="shared" ca="1" si="31"/>
        <v>1</v>
      </c>
    </row>
    <row r="483" spans="1:5" x14ac:dyDescent="0.3">
      <c r="A483" s="3">
        <f t="shared" si="32"/>
        <v>481</v>
      </c>
      <c r="B483" s="3">
        <f t="shared" ca="1" si="33"/>
        <v>2</v>
      </c>
      <c r="C483" s="3">
        <f t="shared" ca="1" si="33"/>
        <v>3</v>
      </c>
      <c r="D483" s="2">
        <f t="shared" ca="1" si="30"/>
        <v>5</v>
      </c>
      <c r="E483" s="2">
        <f t="shared" ca="1" si="31"/>
        <v>0</v>
      </c>
    </row>
    <row r="484" spans="1:5" x14ac:dyDescent="0.3">
      <c r="A484" s="3">
        <f t="shared" si="32"/>
        <v>482</v>
      </c>
      <c r="B484" s="3">
        <f t="shared" ca="1" si="33"/>
        <v>4</v>
      </c>
      <c r="C484" s="3">
        <f t="shared" ca="1" si="33"/>
        <v>6</v>
      </c>
      <c r="D484" s="2">
        <f t="shared" ca="1" si="30"/>
        <v>10</v>
      </c>
      <c r="E484" s="2">
        <f t="shared" ca="1" si="31"/>
        <v>1</v>
      </c>
    </row>
    <row r="485" spans="1:5" x14ac:dyDescent="0.3">
      <c r="A485" s="3">
        <f t="shared" si="32"/>
        <v>483</v>
      </c>
      <c r="B485" s="3">
        <f t="shared" ca="1" si="33"/>
        <v>6</v>
      </c>
      <c r="C485" s="3">
        <f t="shared" ca="1" si="33"/>
        <v>4</v>
      </c>
      <c r="D485" s="2">
        <f t="shared" ca="1" si="30"/>
        <v>10</v>
      </c>
      <c r="E485" s="2">
        <f t="shared" ca="1" si="31"/>
        <v>1</v>
      </c>
    </row>
    <row r="486" spans="1:5" x14ac:dyDescent="0.3">
      <c r="A486" s="3">
        <f t="shared" si="32"/>
        <v>484</v>
      </c>
      <c r="B486" s="3">
        <f t="shared" ca="1" si="33"/>
        <v>5</v>
      </c>
      <c r="C486" s="3">
        <f t="shared" ca="1" si="33"/>
        <v>5</v>
      </c>
      <c r="D486" s="2">
        <f t="shared" ca="1" si="30"/>
        <v>10</v>
      </c>
      <c r="E486" s="2">
        <f t="shared" ca="1" si="31"/>
        <v>1</v>
      </c>
    </row>
    <row r="487" spans="1:5" x14ac:dyDescent="0.3">
      <c r="A487" s="3">
        <f t="shared" si="32"/>
        <v>485</v>
      </c>
      <c r="B487" s="3">
        <f t="shared" ca="1" si="33"/>
        <v>4</v>
      </c>
      <c r="C487" s="3">
        <f t="shared" ca="1" si="33"/>
        <v>3</v>
      </c>
      <c r="D487" s="2">
        <f t="shared" ca="1" si="30"/>
        <v>7</v>
      </c>
      <c r="E487" s="2">
        <f t="shared" ca="1" si="31"/>
        <v>0</v>
      </c>
    </row>
    <row r="488" spans="1:5" x14ac:dyDescent="0.3">
      <c r="A488" s="3">
        <f t="shared" si="32"/>
        <v>486</v>
      </c>
      <c r="B488" s="3">
        <f t="shared" ca="1" si="33"/>
        <v>4</v>
      </c>
      <c r="C488" s="3">
        <f t="shared" ca="1" si="33"/>
        <v>2</v>
      </c>
      <c r="D488" s="2">
        <f t="shared" ca="1" si="30"/>
        <v>6</v>
      </c>
      <c r="E488" s="2">
        <f t="shared" ca="1" si="31"/>
        <v>0</v>
      </c>
    </row>
    <row r="489" spans="1:5" x14ac:dyDescent="0.3">
      <c r="A489" s="3">
        <f t="shared" si="32"/>
        <v>487</v>
      </c>
      <c r="B489" s="3">
        <f t="shared" ca="1" si="33"/>
        <v>4</v>
      </c>
      <c r="C489" s="3">
        <f t="shared" ca="1" si="33"/>
        <v>4</v>
      </c>
      <c r="D489" s="2">
        <f t="shared" ca="1" si="30"/>
        <v>8</v>
      </c>
      <c r="E489" s="2">
        <f t="shared" ca="1" si="31"/>
        <v>1</v>
      </c>
    </row>
    <row r="490" spans="1:5" x14ac:dyDescent="0.3">
      <c r="A490" s="3">
        <f t="shared" si="32"/>
        <v>488</v>
      </c>
      <c r="B490" s="3">
        <f t="shared" ca="1" si="33"/>
        <v>4</v>
      </c>
      <c r="C490" s="3">
        <f t="shared" ca="1" si="33"/>
        <v>6</v>
      </c>
      <c r="D490" s="2">
        <f t="shared" ca="1" si="30"/>
        <v>10</v>
      </c>
      <c r="E490" s="2">
        <f t="shared" ca="1" si="31"/>
        <v>1</v>
      </c>
    </row>
    <row r="491" spans="1:5" x14ac:dyDescent="0.3">
      <c r="A491" s="3">
        <f t="shared" si="32"/>
        <v>489</v>
      </c>
      <c r="B491" s="3">
        <f t="shared" ca="1" si="33"/>
        <v>5</v>
      </c>
      <c r="C491" s="3">
        <f t="shared" ca="1" si="33"/>
        <v>3</v>
      </c>
      <c r="D491" s="2">
        <f t="shared" ca="1" si="30"/>
        <v>8</v>
      </c>
      <c r="E491" s="2">
        <f t="shared" ca="1" si="31"/>
        <v>1</v>
      </c>
    </row>
    <row r="492" spans="1:5" x14ac:dyDescent="0.3">
      <c r="A492" s="3">
        <f t="shared" si="32"/>
        <v>490</v>
      </c>
      <c r="B492" s="3">
        <f t="shared" ca="1" si="33"/>
        <v>2</v>
      </c>
      <c r="C492" s="3">
        <f t="shared" ca="1" si="33"/>
        <v>6</v>
      </c>
      <c r="D492" s="2">
        <f t="shared" ca="1" si="30"/>
        <v>8</v>
      </c>
      <c r="E492" s="2">
        <f t="shared" ca="1" si="31"/>
        <v>1</v>
      </c>
    </row>
    <row r="493" spans="1:5" x14ac:dyDescent="0.3">
      <c r="A493" s="3">
        <f t="shared" si="32"/>
        <v>491</v>
      </c>
      <c r="B493" s="3">
        <f t="shared" ca="1" si="33"/>
        <v>6</v>
      </c>
      <c r="C493" s="3">
        <f t="shared" ca="1" si="33"/>
        <v>5</v>
      </c>
      <c r="D493" s="2">
        <f t="shared" ca="1" si="30"/>
        <v>11</v>
      </c>
      <c r="E493" s="2">
        <f t="shared" ca="1" si="31"/>
        <v>1</v>
      </c>
    </row>
    <row r="494" spans="1:5" x14ac:dyDescent="0.3">
      <c r="A494" s="3">
        <f t="shared" si="32"/>
        <v>492</v>
      </c>
      <c r="B494" s="3">
        <f t="shared" ca="1" si="33"/>
        <v>4</v>
      </c>
      <c r="C494" s="3">
        <f t="shared" ca="1" si="33"/>
        <v>3</v>
      </c>
      <c r="D494" s="2">
        <f t="shared" ca="1" si="30"/>
        <v>7</v>
      </c>
      <c r="E494" s="2">
        <f t="shared" ca="1" si="31"/>
        <v>0</v>
      </c>
    </row>
    <row r="495" spans="1:5" x14ac:dyDescent="0.3">
      <c r="A495" s="3">
        <f t="shared" si="32"/>
        <v>493</v>
      </c>
      <c r="B495" s="3">
        <f t="shared" ca="1" si="33"/>
        <v>6</v>
      </c>
      <c r="C495" s="3">
        <f t="shared" ca="1" si="33"/>
        <v>1</v>
      </c>
      <c r="D495" s="2">
        <f t="shared" ca="1" si="30"/>
        <v>7</v>
      </c>
      <c r="E495" s="2">
        <f t="shared" ca="1" si="31"/>
        <v>0</v>
      </c>
    </row>
    <row r="496" spans="1:5" x14ac:dyDescent="0.3">
      <c r="A496" s="3">
        <f t="shared" si="32"/>
        <v>494</v>
      </c>
      <c r="B496" s="3">
        <f t="shared" ca="1" si="33"/>
        <v>6</v>
      </c>
      <c r="C496" s="3">
        <f t="shared" ca="1" si="33"/>
        <v>6</v>
      </c>
      <c r="D496" s="2">
        <f t="shared" ca="1" si="30"/>
        <v>12</v>
      </c>
      <c r="E496" s="2">
        <f t="shared" ca="1" si="31"/>
        <v>1</v>
      </c>
    </row>
    <row r="497" spans="1:5" x14ac:dyDescent="0.3">
      <c r="A497" s="3">
        <f t="shared" si="32"/>
        <v>495</v>
      </c>
      <c r="B497" s="3">
        <f t="shared" ca="1" si="33"/>
        <v>5</v>
      </c>
      <c r="C497" s="3">
        <f t="shared" ca="1" si="33"/>
        <v>5</v>
      </c>
      <c r="D497" s="2">
        <f t="shared" ca="1" si="30"/>
        <v>10</v>
      </c>
      <c r="E497" s="2">
        <f t="shared" ca="1" si="31"/>
        <v>1</v>
      </c>
    </row>
    <row r="498" spans="1:5" x14ac:dyDescent="0.3">
      <c r="A498" s="3">
        <f t="shared" si="32"/>
        <v>496</v>
      </c>
      <c r="B498" s="3">
        <f t="shared" ca="1" si="33"/>
        <v>5</v>
      </c>
      <c r="C498" s="3">
        <f t="shared" ca="1" si="33"/>
        <v>1</v>
      </c>
      <c r="D498" s="2">
        <f t="shared" ca="1" si="30"/>
        <v>6</v>
      </c>
      <c r="E498" s="2">
        <f t="shared" ca="1" si="31"/>
        <v>0</v>
      </c>
    </row>
    <row r="499" spans="1:5" x14ac:dyDescent="0.3">
      <c r="A499" s="3">
        <f t="shared" si="32"/>
        <v>497</v>
      </c>
      <c r="B499" s="3">
        <f t="shared" ca="1" si="33"/>
        <v>3</v>
      </c>
      <c r="C499" s="3">
        <f t="shared" ca="1" si="33"/>
        <v>3</v>
      </c>
      <c r="D499" s="2">
        <f t="shared" ca="1" si="30"/>
        <v>6</v>
      </c>
      <c r="E499" s="2">
        <f t="shared" ca="1" si="31"/>
        <v>0</v>
      </c>
    </row>
    <row r="500" spans="1:5" x14ac:dyDescent="0.3">
      <c r="A500" s="3">
        <f t="shared" si="32"/>
        <v>498</v>
      </c>
      <c r="B500" s="3">
        <f t="shared" ca="1" si="33"/>
        <v>4</v>
      </c>
      <c r="C500" s="3">
        <f t="shared" ca="1" si="33"/>
        <v>3</v>
      </c>
      <c r="D500" s="2">
        <f t="shared" ca="1" si="30"/>
        <v>7</v>
      </c>
      <c r="E500" s="2">
        <f t="shared" ca="1" si="31"/>
        <v>0</v>
      </c>
    </row>
    <row r="501" spans="1:5" x14ac:dyDescent="0.3">
      <c r="A501" s="3">
        <f t="shared" si="32"/>
        <v>499</v>
      </c>
      <c r="B501" s="3">
        <f t="shared" ca="1" si="33"/>
        <v>6</v>
      </c>
      <c r="C501" s="3">
        <f t="shared" ca="1" si="33"/>
        <v>4</v>
      </c>
      <c r="D501" s="2">
        <f t="shared" ca="1" si="30"/>
        <v>10</v>
      </c>
      <c r="E501" s="2">
        <f t="shared" ca="1" si="31"/>
        <v>1</v>
      </c>
    </row>
    <row r="502" spans="1:5" x14ac:dyDescent="0.3">
      <c r="A502" s="3">
        <f t="shared" si="32"/>
        <v>500</v>
      </c>
      <c r="B502" s="3">
        <f t="shared" ca="1" si="33"/>
        <v>2</v>
      </c>
      <c r="C502" s="3">
        <f t="shared" ca="1" si="33"/>
        <v>3</v>
      </c>
      <c r="D502" s="2">
        <f t="shared" ca="1" si="30"/>
        <v>5</v>
      </c>
      <c r="E502" s="2">
        <f t="shared" ca="1" si="31"/>
        <v>0</v>
      </c>
    </row>
    <row r="503" spans="1:5" x14ac:dyDescent="0.3">
      <c r="A503" s="3">
        <f t="shared" si="32"/>
        <v>501</v>
      </c>
      <c r="B503" s="3">
        <f t="shared" ca="1" si="33"/>
        <v>1</v>
      </c>
      <c r="C503" s="3">
        <f t="shared" ca="1" si="33"/>
        <v>3</v>
      </c>
      <c r="D503" s="2">
        <f t="shared" ca="1" si="30"/>
        <v>4</v>
      </c>
      <c r="E503" s="2">
        <f t="shared" ca="1" si="31"/>
        <v>0</v>
      </c>
    </row>
    <row r="504" spans="1:5" x14ac:dyDescent="0.3">
      <c r="A504" s="3">
        <f t="shared" si="32"/>
        <v>502</v>
      </c>
      <c r="B504" s="3">
        <f t="shared" ca="1" si="33"/>
        <v>1</v>
      </c>
      <c r="C504" s="3">
        <f t="shared" ca="1" si="33"/>
        <v>1</v>
      </c>
      <c r="D504" s="2">
        <f t="shared" ca="1" si="30"/>
        <v>2</v>
      </c>
      <c r="E504" s="2">
        <f t="shared" ca="1" si="31"/>
        <v>0</v>
      </c>
    </row>
    <row r="505" spans="1:5" x14ac:dyDescent="0.3">
      <c r="A505" s="3">
        <f t="shared" si="32"/>
        <v>503</v>
      </c>
      <c r="B505" s="3">
        <f t="shared" ca="1" si="33"/>
        <v>3</v>
      </c>
      <c r="C505" s="3">
        <f t="shared" ca="1" si="33"/>
        <v>6</v>
      </c>
      <c r="D505" s="2">
        <f t="shared" ca="1" si="30"/>
        <v>9</v>
      </c>
      <c r="E505" s="2">
        <f t="shared" ca="1" si="31"/>
        <v>1</v>
      </c>
    </row>
    <row r="506" spans="1:5" x14ac:dyDescent="0.3">
      <c r="A506" s="3">
        <f t="shared" si="32"/>
        <v>504</v>
      </c>
      <c r="B506" s="3">
        <f t="shared" ca="1" si="33"/>
        <v>6</v>
      </c>
      <c r="C506" s="3">
        <f t="shared" ca="1" si="33"/>
        <v>6</v>
      </c>
      <c r="D506" s="2">
        <f t="shared" ca="1" si="30"/>
        <v>12</v>
      </c>
      <c r="E506" s="2">
        <f t="shared" ca="1" si="31"/>
        <v>1</v>
      </c>
    </row>
    <row r="507" spans="1:5" x14ac:dyDescent="0.3">
      <c r="A507" s="3">
        <f t="shared" si="32"/>
        <v>505</v>
      </c>
      <c r="B507" s="3">
        <f t="shared" ca="1" si="33"/>
        <v>6</v>
      </c>
      <c r="C507" s="3">
        <f t="shared" ca="1" si="33"/>
        <v>1</v>
      </c>
      <c r="D507" s="2">
        <f t="shared" ca="1" si="30"/>
        <v>7</v>
      </c>
      <c r="E507" s="2">
        <f t="shared" ca="1" si="31"/>
        <v>0</v>
      </c>
    </row>
    <row r="508" spans="1:5" x14ac:dyDescent="0.3">
      <c r="A508" s="3">
        <f t="shared" si="32"/>
        <v>506</v>
      </c>
      <c r="B508" s="3">
        <f t="shared" ca="1" si="33"/>
        <v>3</v>
      </c>
      <c r="C508" s="3">
        <f t="shared" ca="1" si="33"/>
        <v>4</v>
      </c>
      <c r="D508" s="2">
        <f t="shared" ca="1" si="30"/>
        <v>7</v>
      </c>
      <c r="E508" s="2">
        <f t="shared" ca="1" si="31"/>
        <v>0</v>
      </c>
    </row>
    <row r="509" spans="1:5" x14ac:dyDescent="0.3">
      <c r="A509" s="3">
        <f t="shared" si="32"/>
        <v>507</v>
      </c>
      <c r="B509" s="3">
        <f t="shared" ca="1" si="33"/>
        <v>5</v>
      </c>
      <c r="C509" s="3">
        <f t="shared" ca="1" si="33"/>
        <v>4</v>
      </c>
      <c r="D509" s="2">
        <f t="shared" ca="1" si="30"/>
        <v>9</v>
      </c>
      <c r="E509" s="2">
        <f t="shared" ca="1" si="31"/>
        <v>1</v>
      </c>
    </row>
    <row r="510" spans="1:5" x14ac:dyDescent="0.3">
      <c r="A510" s="3">
        <f t="shared" si="32"/>
        <v>508</v>
      </c>
      <c r="B510" s="3">
        <f t="shared" ca="1" si="33"/>
        <v>3</v>
      </c>
      <c r="C510" s="3">
        <f t="shared" ca="1" si="33"/>
        <v>5</v>
      </c>
      <c r="D510" s="2">
        <f t="shared" ca="1" si="30"/>
        <v>8</v>
      </c>
      <c r="E510" s="2">
        <f t="shared" ca="1" si="31"/>
        <v>1</v>
      </c>
    </row>
    <row r="511" spans="1:5" x14ac:dyDescent="0.3">
      <c r="A511" s="3">
        <f t="shared" si="32"/>
        <v>509</v>
      </c>
      <c r="B511" s="3">
        <f t="shared" ca="1" si="33"/>
        <v>1</v>
      </c>
      <c r="C511" s="3">
        <f t="shared" ca="1" si="33"/>
        <v>1</v>
      </c>
      <c r="D511" s="2">
        <f t="shared" ca="1" si="30"/>
        <v>2</v>
      </c>
      <c r="E511" s="2">
        <f t="shared" ca="1" si="31"/>
        <v>0</v>
      </c>
    </row>
    <row r="512" spans="1:5" x14ac:dyDescent="0.3">
      <c r="A512" s="3">
        <f t="shared" si="32"/>
        <v>510</v>
      </c>
      <c r="B512" s="3">
        <f t="shared" ca="1" si="33"/>
        <v>4</v>
      </c>
      <c r="C512" s="3">
        <f t="shared" ca="1" si="33"/>
        <v>1</v>
      </c>
      <c r="D512" s="2">
        <f t="shared" ca="1" si="30"/>
        <v>5</v>
      </c>
      <c r="E512" s="2">
        <f t="shared" ca="1" si="31"/>
        <v>0</v>
      </c>
    </row>
    <row r="513" spans="1:5" x14ac:dyDescent="0.3">
      <c r="A513" s="3">
        <f t="shared" si="32"/>
        <v>511</v>
      </c>
      <c r="B513" s="3">
        <f t="shared" ca="1" si="33"/>
        <v>2</v>
      </c>
      <c r="C513" s="3">
        <f t="shared" ca="1" si="33"/>
        <v>2</v>
      </c>
      <c r="D513" s="2">
        <f t="shared" ca="1" si="30"/>
        <v>4</v>
      </c>
      <c r="E513" s="2">
        <f t="shared" ca="1" si="31"/>
        <v>0</v>
      </c>
    </row>
    <row r="514" spans="1:5" x14ac:dyDescent="0.3">
      <c r="A514" s="3">
        <f t="shared" si="32"/>
        <v>512</v>
      </c>
      <c r="B514" s="3">
        <f t="shared" ca="1" si="33"/>
        <v>3</v>
      </c>
      <c r="C514" s="3">
        <f t="shared" ca="1" si="33"/>
        <v>1</v>
      </c>
      <c r="D514" s="2">
        <f t="shared" ca="1" si="30"/>
        <v>4</v>
      </c>
      <c r="E514" s="2">
        <f t="shared" ca="1" si="31"/>
        <v>0</v>
      </c>
    </row>
    <row r="515" spans="1:5" x14ac:dyDescent="0.3">
      <c r="A515" s="3">
        <f t="shared" si="32"/>
        <v>513</v>
      </c>
      <c r="B515" s="3">
        <f t="shared" ca="1" si="33"/>
        <v>1</v>
      </c>
      <c r="C515" s="3">
        <f t="shared" ca="1" si="33"/>
        <v>2</v>
      </c>
      <c r="D515" s="2">
        <f t="shared" ca="1" si="30"/>
        <v>3</v>
      </c>
      <c r="E515" s="2">
        <f t="shared" ca="1" si="31"/>
        <v>0</v>
      </c>
    </row>
    <row r="516" spans="1:5" x14ac:dyDescent="0.3">
      <c r="A516" s="3">
        <f t="shared" si="32"/>
        <v>514</v>
      </c>
      <c r="B516" s="3">
        <f t="shared" ca="1" si="33"/>
        <v>5</v>
      </c>
      <c r="C516" s="3">
        <f t="shared" ca="1" si="33"/>
        <v>2</v>
      </c>
      <c r="D516" s="2">
        <f t="shared" ref="D516:D579" ca="1" si="34">C516+B516</f>
        <v>7</v>
      </c>
      <c r="E516" s="2">
        <f t="shared" ref="E516:E579" ca="1" si="35">IF(D516&gt;=8,1,0)</f>
        <v>0</v>
      </c>
    </row>
    <row r="517" spans="1:5" x14ac:dyDescent="0.3">
      <c r="A517" s="3">
        <f t="shared" ref="A517:A580" si="36">A516+1</f>
        <v>515</v>
      </c>
      <c r="B517" s="3">
        <f t="shared" ref="B517:C580" ca="1" si="37">RANDBETWEEN(1,6)</f>
        <v>1</v>
      </c>
      <c r="C517" s="3">
        <f t="shared" ca="1" si="37"/>
        <v>4</v>
      </c>
      <c r="D517" s="2">
        <f t="shared" ca="1" si="34"/>
        <v>5</v>
      </c>
      <c r="E517" s="2">
        <f t="shared" ca="1" si="35"/>
        <v>0</v>
      </c>
    </row>
    <row r="518" spans="1:5" x14ac:dyDescent="0.3">
      <c r="A518" s="3">
        <f t="shared" si="36"/>
        <v>516</v>
      </c>
      <c r="B518" s="3">
        <f t="shared" ca="1" si="37"/>
        <v>2</v>
      </c>
      <c r="C518" s="3">
        <f t="shared" ca="1" si="37"/>
        <v>2</v>
      </c>
      <c r="D518" s="2">
        <f t="shared" ca="1" si="34"/>
        <v>4</v>
      </c>
      <c r="E518" s="2">
        <f t="shared" ca="1" si="35"/>
        <v>0</v>
      </c>
    </row>
    <row r="519" spans="1:5" x14ac:dyDescent="0.3">
      <c r="A519" s="3">
        <f t="shared" si="36"/>
        <v>517</v>
      </c>
      <c r="B519" s="3">
        <f t="shared" ca="1" si="37"/>
        <v>5</v>
      </c>
      <c r="C519" s="3">
        <f t="shared" ca="1" si="37"/>
        <v>1</v>
      </c>
      <c r="D519" s="2">
        <f t="shared" ca="1" si="34"/>
        <v>6</v>
      </c>
      <c r="E519" s="2">
        <f t="shared" ca="1" si="35"/>
        <v>0</v>
      </c>
    </row>
    <row r="520" spans="1:5" x14ac:dyDescent="0.3">
      <c r="A520" s="3">
        <f t="shared" si="36"/>
        <v>518</v>
      </c>
      <c r="B520" s="3">
        <f t="shared" ca="1" si="37"/>
        <v>5</v>
      </c>
      <c r="C520" s="3">
        <f t="shared" ca="1" si="37"/>
        <v>1</v>
      </c>
      <c r="D520" s="2">
        <f t="shared" ca="1" si="34"/>
        <v>6</v>
      </c>
      <c r="E520" s="2">
        <f t="shared" ca="1" si="35"/>
        <v>0</v>
      </c>
    </row>
    <row r="521" spans="1:5" x14ac:dyDescent="0.3">
      <c r="A521" s="3">
        <f t="shared" si="36"/>
        <v>519</v>
      </c>
      <c r="B521" s="3">
        <f t="shared" ca="1" si="37"/>
        <v>6</v>
      </c>
      <c r="C521" s="3">
        <f t="shared" ca="1" si="37"/>
        <v>2</v>
      </c>
      <c r="D521" s="2">
        <f t="shared" ca="1" si="34"/>
        <v>8</v>
      </c>
      <c r="E521" s="2">
        <f t="shared" ca="1" si="35"/>
        <v>1</v>
      </c>
    </row>
    <row r="522" spans="1:5" x14ac:dyDescent="0.3">
      <c r="A522" s="3">
        <f t="shared" si="36"/>
        <v>520</v>
      </c>
      <c r="B522" s="3">
        <f t="shared" ca="1" si="37"/>
        <v>3</v>
      </c>
      <c r="C522" s="3">
        <f t="shared" ca="1" si="37"/>
        <v>6</v>
      </c>
      <c r="D522" s="2">
        <f t="shared" ca="1" si="34"/>
        <v>9</v>
      </c>
      <c r="E522" s="2">
        <f t="shared" ca="1" si="35"/>
        <v>1</v>
      </c>
    </row>
    <row r="523" spans="1:5" x14ac:dyDescent="0.3">
      <c r="A523" s="3">
        <f t="shared" si="36"/>
        <v>521</v>
      </c>
      <c r="B523" s="3">
        <f t="shared" ca="1" si="37"/>
        <v>6</v>
      </c>
      <c r="C523" s="3">
        <f t="shared" ca="1" si="37"/>
        <v>4</v>
      </c>
      <c r="D523" s="2">
        <f t="shared" ca="1" si="34"/>
        <v>10</v>
      </c>
      <c r="E523" s="2">
        <f t="shared" ca="1" si="35"/>
        <v>1</v>
      </c>
    </row>
    <row r="524" spans="1:5" x14ac:dyDescent="0.3">
      <c r="A524" s="3">
        <f t="shared" si="36"/>
        <v>522</v>
      </c>
      <c r="B524" s="3">
        <f t="shared" ca="1" si="37"/>
        <v>3</v>
      </c>
      <c r="C524" s="3">
        <f t="shared" ca="1" si="37"/>
        <v>5</v>
      </c>
      <c r="D524" s="2">
        <f t="shared" ca="1" si="34"/>
        <v>8</v>
      </c>
      <c r="E524" s="2">
        <f t="shared" ca="1" si="35"/>
        <v>1</v>
      </c>
    </row>
    <row r="525" spans="1:5" x14ac:dyDescent="0.3">
      <c r="A525" s="3">
        <f t="shared" si="36"/>
        <v>523</v>
      </c>
      <c r="B525" s="3">
        <f t="shared" ca="1" si="37"/>
        <v>3</v>
      </c>
      <c r="C525" s="3">
        <f t="shared" ca="1" si="37"/>
        <v>6</v>
      </c>
      <c r="D525" s="2">
        <f t="shared" ca="1" si="34"/>
        <v>9</v>
      </c>
      <c r="E525" s="2">
        <f t="shared" ca="1" si="35"/>
        <v>1</v>
      </c>
    </row>
    <row r="526" spans="1:5" x14ac:dyDescent="0.3">
      <c r="A526" s="3">
        <f t="shared" si="36"/>
        <v>524</v>
      </c>
      <c r="B526" s="3">
        <f t="shared" ca="1" si="37"/>
        <v>2</v>
      </c>
      <c r="C526" s="3">
        <f t="shared" ca="1" si="37"/>
        <v>2</v>
      </c>
      <c r="D526" s="2">
        <f t="shared" ca="1" si="34"/>
        <v>4</v>
      </c>
      <c r="E526" s="2">
        <f t="shared" ca="1" si="35"/>
        <v>0</v>
      </c>
    </row>
    <row r="527" spans="1:5" x14ac:dyDescent="0.3">
      <c r="A527" s="3">
        <f t="shared" si="36"/>
        <v>525</v>
      </c>
      <c r="B527" s="3">
        <f t="shared" ca="1" si="37"/>
        <v>2</v>
      </c>
      <c r="C527" s="3">
        <f t="shared" ca="1" si="37"/>
        <v>5</v>
      </c>
      <c r="D527" s="2">
        <f t="shared" ca="1" si="34"/>
        <v>7</v>
      </c>
      <c r="E527" s="2">
        <f t="shared" ca="1" si="35"/>
        <v>0</v>
      </c>
    </row>
    <row r="528" spans="1:5" x14ac:dyDescent="0.3">
      <c r="A528" s="3">
        <f t="shared" si="36"/>
        <v>526</v>
      </c>
      <c r="B528" s="3">
        <f t="shared" ca="1" si="37"/>
        <v>5</v>
      </c>
      <c r="C528" s="3">
        <f t="shared" ca="1" si="37"/>
        <v>3</v>
      </c>
      <c r="D528" s="2">
        <f t="shared" ca="1" si="34"/>
        <v>8</v>
      </c>
      <c r="E528" s="2">
        <f t="shared" ca="1" si="35"/>
        <v>1</v>
      </c>
    </row>
    <row r="529" spans="1:5" x14ac:dyDescent="0.3">
      <c r="A529" s="3">
        <f t="shared" si="36"/>
        <v>527</v>
      </c>
      <c r="B529" s="3">
        <f t="shared" ca="1" si="37"/>
        <v>6</v>
      </c>
      <c r="C529" s="3">
        <f t="shared" ca="1" si="37"/>
        <v>3</v>
      </c>
      <c r="D529" s="2">
        <f t="shared" ca="1" si="34"/>
        <v>9</v>
      </c>
      <c r="E529" s="2">
        <f t="shared" ca="1" si="35"/>
        <v>1</v>
      </c>
    </row>
    <row r="530" spans="1:5" x14ac:dyDescent="0.3">
      <c r="A530" s="3">
        <f t="shared" si="36"/>
        <v>528</v>
      </c>
      <c r="B530" s="3">
        <f t="shared" ca="1" si="37"/>
        <v>4</v>
      </c>
      <c r="C530" s="3">
        <f t="shared" ca="1" si="37"/>
        <v>3</v>
      </c>
      <c r="D530" s="2">
        <f t="shared" ca="1" si="34"/>
        <v>7</v>
      </c>
      <c r="E530" s="2">
        <f t="shared" ca="1" si="35"/>
        <v>0</v>
      </c>
    </row>
    <row r="531" spans="1:5" x14ac:dyDescent="0.3">
      <c r="A531" s="3">
        <f t="shared" si="36"/>
        <v>529</v>
      </c>
      <c r="B531" s="3">
        <f t="shared" ca="1" si="37"/>
        <v>5</v>
      </c>
      <c r="C531" s="3">
        <f t="shared" ca="1" si="37"/>
        <v>6</v>
      </c>
      <c r="D531" s="2">
        <f t="shared" ca="1" si="34"/>
        <v>11</v>
      </c>
      <c r="E531" s="2">
        <f t="shared" ca="1" si="35"/>
        <v>1</v>
      </c>
    </row>
    <row r="532" spans="1:5" x14ac:dyDescent="0.3">
      <c r="A532" s="3">
        <f t="shared" si="36"/>
        <v>530</v>
      </c>
      <c r="B532" s="3">
        <f t="shared" ca="1" si="37"/>
        <v>5</v>
      </c>
      <c r="C532" s="3">
        <f t="shared" ca="1" si="37"/>
        <v>6</v>
      </c>
      <c r="D532" s="2">
        <f t="shared" ca="1" si="34"/>
        <v>11</v>
      </c>
      <c r="E532" s="2">
        <f t="shared" ca="1" si="35"/>
        <v>1</v>
      </c>
    </row>
    <row r="533" spans="1:5" x14ac:dyDescent="0.3">
      <c r="A533" s="3">
        <f t="shared" si="36"/>
        <v>531</v>
      </c>
      <c r="B533" s="3">
        <f t="shared" ca="1" si="37"/>
        <v>1</v>
      </c>
      <c r="C533" s="3">
        <f t="shared" ca="1" si="37"/>
        <v>3</v>
      </c>
      <c r="D533" s="2">
        <f t="shared" ca="1" si="34"/>
        <v>4</v>
      </c>
      <c r="E533" s="2">
        <f t="shared" ca="1" si="35"/>
        <v>0</v>
      </c>
    </row>
    <row r="534" spans="1:5" x14ac:dyDescent="0.3">
      <c r="A534" s="3">
        <f t="shared" si="36"/>
        <v>532</v>
      </c>
      <c r="B534" s="3">
        <f t="shared" ca="1" si="37"/>
        <v>4</v>
      </c>
      <c r="C534" s="3">
        <f t="shared" ca="1" si="37"/>
        <v>1</v>
      </c>
      <c r="D534" s="2">
        <f t="shared" ca="1" si="34"/>
        <v>5</v>
      </c>
      <c r="E534" s="2">
        <f t="shared" ca="1" si="35"/>
        <v>0</v>
      </c>
    </row>
    <row r="535" spans="1:5" x14ac:dyDescent="0.3">
      <c r="A535" s="3">
        <f t="shared" si="36"/>
        <v>533</v>
      </c>
      <c r="B535" s="3">
        <f t="shared" ca="1" si="37"/>
        <v>2</v>
      </c>
      <c r="C535" s="3">
        <f t="shared" ca="1" si="37"/>
        <v>3</v>
      </c>
      <c r="D535" s="2">
        <f t="shared" ca="1" si="34"/>
        <v>5</v>
      </c>
      <c r="E535" s="2">
        <f t="shared" ca="1" si="35"/>
        <v>0</v>
      </c>
    </row>
    <row r="536" spans="1:5" x14ac:dyDescent="0.3">
      <c r="A536" s="3">
        <f t="shared" si="36"/>
        <v>534</v>
      </c>
      <c r="B536" s="3">
        <f t="shared" ca="1" si="37"/>
        <v>6</v>
      </c>
      <c r="C536" s="3">
        <f t="shared" ca="1" si="37"/>
        <v>5</v>
      </c>
      <c r="D536" s="2">
        <f t="shared" ca="1" si="34"/>
        <v>11</v>
      </c>
      <c r="E536" s="2">
        <f t="shared" ca="1" si="35"/>
        <v>1</v>
      </c>
    </row>
    <row r="537" spans="1:5" x14ac:dyDescent="0.3">
      <c r="A537" s="3">
        <f t="shared" si="36"/>
        <v>535</v>
      </c>
      <c r="B537" s="3">
        <f t="shared" ca="1" si="37"/>
        <v>4</v>
      </c>
      <c r="C537" s="3">
        <f t="shared" ca="1" si="37"/>
        <v>5</v>
      </c>
      <c r="D537" s="2">
        <f t="shared" ca="1" si="34"/>
        <v>9</v>
      </c>
      <c r="E537" s="2">
        <f t="shared" ca="1" si="35"/>
        <v>1</v>
      </c>
    </row>
    <row r="538" spans="1:5" x14ac:dyDescent="0.3">
      <c r="A538" s="3">
        <f t="shared" si="36"/>
        <v>536</v>
      </c>
      <c r="B538" s="3">
        <f t="shared" ca="1" si="37"/>
        <v>1</v>
      </c>
      <c r="C538" s="3">
        <f t="shared" ca="1" si="37"/>
        <v>1</v>
      </c>
      <c r="D538" s="2">
        <f t="shared" ca="1" si="34"/>
        <v>2</v>
      </c>
      <c r="E538" s="2">
        <f t="shared" ca="1" si="35"/>
        <v>0</v>
      </c>
    </row>
    <row r="539" spans="1:5" x14ac:dyDescent="0.3">
      <c r="A539" s="3">
        <f t="shared" si="36"/>
        <v>537</v>
      </c>
      <c r="B539" s="3">
        <f t="shared" ca="1" si="37"/>
        <v>6</v>
      </c>
      <c r="C539" s="3">
        <f t="shared" ca="1" si="37"/>
        <v>2</v>
      </c>
      <c r="D539" s="2">
        <f t="shared" ca="1" si="34"/>
        <v>8</v>
      </c>
      <c r="E539" s="2">
        <f t="shared" ca="1" si="35"/>
        <v>1</v>
      </c>
    </row>
    <row r="540" spans="1:5" x14ac:dyDescent="0.3">
      <c r="A540" s="3">
        <f t="shared" si="36"/>
        <v>538</v>
      </c>
      <c r="B540" s="3">
        <f t="shared" ca="1" si="37"/>
        <v>1</v>
      </c>
      <c r="C540" s="3">
        <f t="shared" ca="1" si="37"/>
        <v>3</v>
      </c>
      <c r="D540" s="2">
        <f t="shared" ca="1" si="34"/>
        <v>4</v>
      </c>
      <c r="E540" s="2">
        <f t="shared" ca="1" si="35"/>
        <v>0</v>
      </c>
    </row>
    <row r="541" spans="1:5" x14ac:dyDescent="0.3">
      <c r="A541" s="3">
        <f t="shared" si="36"/>
        <v>539</v>
      </c>
      <c r="B541" s="3">
        <f t="shared" ca="1" si="37"/>
        <v>3</v>
      </c>
      <c r="C541" s="3">
        <f t="shared" ca="1" si="37"/>
        <v>3</v>
      </c>
      <c r="D541" s="2">
        <f t="shared" ca="1" si="34"/>
        <v>6</v>
      </c>
      <c r="E541" s="2">
        <f t="shared" ca="1" si="35"/>
        <v>0</v>
      </c>
    </row>
    <row r="542" spans="1:5" x14ac:dyDescent="0.3">
      <c r="A542" s="3">
        <f t="shared" si="36"/>
        <v>540</v>
      </c>
      <c r="B542" s="3">
        <f t="shared" ca="1" si="37"/>
        <v>6</v>
      </c>
      <c r="C542" s="3">
        <f t="shared" ca="1" si="37"/>
        <v>3</v>
      </c>
      <c r="D542" s="2">
        <f t="shared" ca="1" si="34"/>
        <v>9</v>
      </c>
      <c r="E542" s="2">
        <f t="shared" ca="1" si="35"/>
        <v>1</v>
      </c>
    </row>
    <row r="543" spans="1:5" x14ac:dyDescent="0.3">
      <c r="A543" s="3">
        <f t="shared" si="36"/>
        <v>541</v>
      </c>
      <c r="B543" s="3">
        <f t="shared" ca="1" si="37"/>
        <v>3</v>
      </c>
      <c r="C543" s="3">
        <f t="shared" ca="1" si="37"/>
        <v>2</v>
      </c>
      <c r="D543" s="2">
        <f t="shared" ca="1" si="34"/>
        <v>5</v>
      </c>
      <c r="E543" s="2">
        <f t="shared" ca="1" si="35"/>
        <v>0</v>
      </c>
    </row>
    <row r="544" spans="1:5" x14ac:dyDescent="0.3">
      <c r="A544" s="3">
        <f t="shared" si="36"/>
        <v>542</v>
      </c>
      <c r="B544" s="3">
        <f t="shared" ca="1" si="37"/>
        <v>1</v>
      </c>
      <c r="C544" s="3">
        <f t="shared" ca="1" si="37"/>
        <v>5</v>
      </c>
      <c r="D544" s="2">
        <f t="shared" ca="1" si="34"/>
        <v>6</v>
      </c>
      <c r="E544" s="2">
        <f t="shared" ca="1" si="35"/>
        <v>0</v>
      </c>
    </row>
    <row r="545" spans="1:5" x14ac:dyDescent="0.3">
      <c r="A545" s="3">
        <f t="shared" si="36"/>
        <v>543</v>
      </c>
      <c r="B545" s="3">
        <f t="shared" ca="1" si="37"/>
        <v>4</v>
      </c>
      <c r="C545" s="3">
        <f t="shared" ca="1" si="37"/>
        <v>1</v>
      </c>
      <c r="D545" s="2">
        <f t="shared" ca="1" si="34"/>
        <v>5</v>
      </c>
      <c r="E545" s="2">
        <f t="shared" ca="1" si="35"/>
        <v>0</v>
      </c>
    </row>
    <row r="546" spans="1:5" x14ac:dyDescent="0.3">
      <c r="A546" s="3">
        <f t="shared" si="36"/>
        <v>544</v>
      </c>
      <c r="B546" s="3">
        <f t="shared" ca="1" si="37"/>
        <v>3</v>
      </c>
      <c r="C546" s="3">
        <f t="shared" ca="1" si="37"/>
        <v>1</v>
      </c>
      <c r="D546" s="2">
        <f t="shared" ca="1" si="34"/>
        <v>4</v>
      </c>
      <c r="E546" s="2">
        <f t="shared" ca="1" si="35"/>
        <v>0</v>
      </c>
    </row>
    <row r="547" spans="1:5" x14ac:dyDescent="0.3">
      <c r="A547" s="3">
        <f t="shared" si="36"/>
        <v>545</v>
      </c>
      <c r="B547" s="3">
        <f t="shared" ca="1" si="37"/>
        <v>4</v>
      </c>
      <c r="C547" s="3">
        <f t="shared" ca="1" si="37"/>
        <v>4</v>
      </c>
      <c r="D547" s="2">
        <f t="shared" ca="1" si="34"/>
        <v>8</v>
      </c>
      <c r="E547" s="2">
        <f t="shared" ca="1" si="35"/>
        <v>1</v>
      </c>
    </row>
    <row r="548" spans="1:5" x14ac:dyDescent="0.3">
      <c r="A548" s="3">
        <f t="shared" si="36"/>
        <v>546</v>
      </c>
      <c r="B548" s="3">
        <f t="shared" ca="1" si="37"/>
        <v>3</v>
      </c>
      <c r="C548" s="3">
        <f t="shared" ca="1" si="37"/>
        <v>2</v>
      </c>
      <c r="D548" s="2">
        <f t="shared" ca="1" si="34"/>
        <v>5</v>
      </c>
      <c r="E548" s="2">
        <f t="shared" ca="1" si="35"/>
        <v>0</v>
      </c>
    </row>
    <row r="549" spans="1:5" x14ac:dyDescent="0.3">
      <c r="A549" s="3">
        <f t="shared" si="36"/>
        <v>547</v>
      </c>
      <c r="B549" s="3">
        <f t="shared" ca="1" si="37"/>
        <v>6</v>
      </c>
      <c r="C549" s="3">
        <f t="shared" ca="1" si="37"/>
        <v>6</v>
      </c>
      <c r="D549" s="2">
        <f t="shared" ca="1" si="34"/>
        <v>12</v>
      </c>
      <c r="E549" s="2">
        <f t="shared" ca="1" si="35"/>
        <v>1</v>
      </c>
    </row>
    <row r="550" spans="1:5" x14ac:dyDescent="0.3">
      <c r="A550" s="3">
        <f t="shared" si="36"/>
        <v>548</v>
      </c>
      <c r="B550" s="3">
        <f t="shared" ca="1" si="37"/>
        <v>4</v>
      </c>
      <c r="C550" s="3">
        <f t="shared" ca="1" si="37"/>
        <v>1</v>
      </c>
      <c r="D550" s="2">
        <f t="shared" ca="1" si="34"/>
        <v>5</v>
      </c>
      <c r="E550" s="2">
        <f t="shared" ca="1" si="35"/>
        <v>0</v>
      </c>
    </row>
    <row r="551" spans="1:5" x14ac:dyDescent="0.3">
      <c r="A551" s="3">
        <f t="shared" si="36"/>
        <v>549</v>
      </c>
      <c r="B551" s="3">
        <f t="shared" ca="1" si="37"/>
        <v>2</v>
      </c>
      <c r="C551" s="3">
        <f t="shared" ca="1" si="37"/>
        <v>4</v>
      </c>
      <c r="D551" s="2">
        <f t="shared" ca="1" si="34"/>
        <v>6</v>
      </c>
      <c r="E551" s="2">
        <f t="shared" ca="1" si="35"/>
        <v>0</v>
      </c>
    </row>
    <row r="552" spans="1:5" x14ac:dyDescent="0.3">
      <c r="A552" s="3">
        <f t="shared" si="36"/>
        <v>550</v>
      </c>
      <c r="B552" s="3">
        <f t="shared" ca="1" si="37"/>
        <v>3</v>
      </c>
      <c r="C552" s="3">
        <f t="shared" ca="1" si="37"/>
        <v>1</v>
      </c>
      <c r="D552" s="2">
        <f t="shared" ca="1" si="34"/>
        <v>4</v>
      </c>
      <c r="E552" s="2">
        <f t="shared" ca="1" si="35"/>
        <v>0</v>
      </c>
    </row>
    <row r="553" spans="1:5" x14ac:dyDescent="0.3">
      <c r="A553" s="3">
        <f t="shared" si="36"/>
        <v>551</v>
      </c>
      <c r="B553" s="3">
        <f t="shared" ca="1" si="37"/>
        <v>4</v>
      </c>
      <c r="C553" s="3">
        <f t="shared" ca="1" si="37"/>
        <v>1</v>
      </c>
      <c r="D553" s="2">
        <f t="shared" ca="1" si="34"/>
        <v>5</v>
      </c>
      <c r="E553" s="2">
        <f t="shared" ca="1" si="35"/>
        <v>0</v>
      </c>
    </row>
    <row r="554" spans="1:5" x14ac:dyDescent="0.3">
      <c r="A554" s="3">
        <f t="shared" si="36"/>
        <v>552</v>
      </c>
      <c r="B554" s="3">
        <f t="shared" ca="1" si="37"/>
        <v>4</v>
      </c>
      <c r="C554" s="3">
        <f t="shared" ca="1" si="37"/>
        <v>6</v>
      </c>
      <c r="D554" s="2">
        <f t="shared" ca="1" si="34"/>
        <v>10</v>
      </c>
      <c r="E554" s="2">
        <f t="shared" ca="1" si="35"/>
        <v>1</v>
      </c>
    </row>
    <row r="555" spans="1:5" x14ac:dyDescent="0.3">
      <c r="A555" s="3">
        <f t="shared" si="36"/>
        <v>553</v>
      </c>
      <c r="B555" s="3">
        <f t="shared" ca="1" si="37"/>
        <v>6</v>
      </c>
      <c r="C555" s="3">
        <f t="shared" ca="1" si="37"/>
        <v>2</v>
      </c>
      <c r="D555" s="2">
        <f t="shared" ca="1" si="34"/>
        <v>8</v>
      </c>
      <c r="E555" s="2">
        <f t="shared" ca="1" si="35"/>
        <v>1</v>
      </c>
    </row>
    <row r="556" spans="1:5" x14ac:dyDescent="0.3">
      <c r="A556" s="3">
        <f t="shared" si="36"/>
        <v>554</v>
      </c>
      <c r="B556" s="3">
        <f t="shared" ca="1" si="37"/>
        <v>3</v>
      </c>
      <c r="C556" s="3">
        <f t="shared" ca="1" si="37"/>
        <v>6</v>
      </c>
      <c r="D556" s="2">
        <f t="shared" ca="1" si="34"/>
        <v>9</v>
      </c>
      <c r="E556" s="2">
        <f t="shared" ca="1" si="35"/>
        <v>1</v>
      </c>
    </row>
    <row r="557" spans="1:5" x14ac:dyDescent="0.3">
      <c r="A557" s="3">
        <f t="shared" si="36"/>
        <v>555</v>
      </c>
      <c r="B557" s="3">
        <f t="shared" ca="1" si="37"/>
        <v>6</v>
      </c>
      <c r="C557" s="3">
        <f t="shared" ca="1" si="37"/>
        <v>4</v>
      </c>
      <c r="D557" s="2">
        <f t="shared" ca="1" si="34"/>
        <v>10</v>
      </c>
      <c r="E557" s="2">
        <f t="shared" ca="1" si="35"/>
        <v>1</v>
      </c>
    </row>
    <row r="558" spans="1:5" x14ac:dyDescent="0.3">
      <c r="A558" s="3">
        <f t="shared" si="36"/>
        <v>556</v>
      </c>
      <c r="B558" s="3">
        <f t="shared" ca="1" si="37"/>
        <v>1</v>
      </c>
      <c r="C558" s="3">
        <f t="shared" ca="1" si="37"/>
        <v>1</v>
      </c>
      <c r="D558" s="2">
        <f t="shared" ca="1" si="34"/>
        <v>2</v>
      </c>
      <c r="E558" s="2">
        <f t="shared" ca="1" si="35"/>
        <v>0</v>
      </c>
    </row>
    <row r="559" spans="1:5" x14ac:dyDescent="0.3">
      <c r="A559" s="3">
        <f t="shared" si="36"/>
        <v>557</v>
      </c>
      <c r="B559" s="3">
        <f t="shared" ca="1" si="37"/>
        <v>2</v>
      </c>
      <c r="C559" s="3">
        <f t="shared" ca="1" si="37"/>
        <v>4</v>
      </c>
      <c r="D559" s="2">
        <f t="shared" ca="1" si="34"/>
        <v>6</v>
      </c>
      <c r="E559" s="2">
        <f t="shared" ca="1" si="35"/>
        <v>0</v>
      </c>
    </row>
    <row r="560" spans="1:5" x14ac:dyDescent="0.3">
      <c r="A560" s="3">
        <f t="shared" si="36"/>
        <v>558</v>
      </c>
      <c r="B560" s="3">
        <f t="shared" ca="1" si="37"/>
        <v>1</v>
      </c>
      <c r="C560" s="3">
        <f t="shared" ca="1" si="37"/>
        <v>4</v>
      </c>
      <c r="D560" s="2">
        <f t="shared" ca="1" si="34"/>
        <v>5</v>
      </c>
      <c r="E560" s="2">
        <f t="shared" ca="1" si="35"/>
        <v>0</v>
      </c>
    </row>
    <row r="561" spans="1:5" x14ac:dyDescent="0.3">
      <c r="A561" s="3">
        <f t="shared" si="36"/>
        <v>559</v>
      </c>
      <c r="B561" s="3">
        <f t="shared" ca="1" si="37"/>
        <v>4</v>
      </c>
      <c r="C561" s="3">
        <f t="shared" ca="1" si="37"/>
        <v>1</v>
      </c>
      <c r="D561" s="2">
        <f t="shared" ca="1" si="34"/>
        <v>5</v>
      </c>
      <c r="E561" s="2">
        <f t="shared" ca="1" si="35"/>
        <v>0</v>
      </c>
    </row>
    <row r="562" spans="1:5" x14ac:dyDescent="0.3">
      <c r="A562" s="3">
        <f t="shared" si="36"/>
        <v>560</v>
      </c>
      <c r="B562" s="3">
        <f t="shared" ca="1" si="37"/>
        <v>3</v>
      </c>
      <c r="C562" s="3">
        <f t="shared" ca="1" si="37"/>
        <v>6</v>
      </c>
      <c r="D562" s="2">
        <f t="shared" ca="1" si="34"/>
        <v>9</v>
      </c>
      <c r="E562" s="2">
        <f t="shared" ca="1" si="35"/>
        <v>1</v>
      </c>
    </row>
    <row r="563" spans="1:5" x14ac:dyDescent="0.3">
      <c r="A563" s="3">
        <f t="shared" si="36"/>
        <v>561</v>
      </c>
      <c r="B563" s="3">
        <f t="shared" ca="1" si="37"/>
        <v>3</v>
      </c>
      <c r="C563" s="3">
        <f t="shared" ca="1" si="37"/>
        <v>1</v>
      </c>
      <c r="D563" s="2">
        <f t="shared" ca="1" si="34"/>
        <v>4</v>
      </c>
      <c r="E563" s="2">
        <f t="shared" ca="1" si="35"/>
        <v>0</v>
      </c>
    </row>
    <row r="564" spans="1:5" x14ac:dyDescent="0.3">
      <c r="A564" s="3">
        <f t="shared" si="36"/>
        <v>562</v>
      </c>
      <c r="B564" s="3">
        <f t="shared" ca="1" si="37"/>
        <v>6</v>
      </c>
      <c r="C564" s="3">
        <f t="shared" ca="1" si="37"/>
        <v>5</v>
      </c>
      <c r="D564" s="2">
        <f t="shared" ca="1" si="34"/>
        <v>11</v>
      </c>
      <c r="E564" s="2">
        <f t="shared" ca="1" si="35"/>
        <v>1</v>
      </c>
    </row>
    <row r="565" spans="1:5" x14ac:dyDescent="0.3">
      <c r="A565" s="3">
        <f t="shared" si="36"/>
        <v>563</v>
      </c>
      <c r="B565" s="3">
        <f t="shared" ca="1" si="37"/>
        <v>3</v>
      </c>
      <c r="C565" s="3">
        <f t="shared" ca="1" si="37"/>
        <v>3</v>
      </c>
      <c r="D565" s="2">
        <f t="shared" ca="1" si="34"/>
        <v>6</v>
      </c>
      <c r="E565" s="2">
        <f t="shared" ca="1" si="35"/>
        <v>0</v>
      </c>
    </row>
    <row r="566" spans="1:5" x14ac:dyDescent="0.3">
      <c r="A566" s="3">
        <f t="shared" si="36"/>
        <v>564</v>
      </c>
      <c r="B566" s="3">
        <f t="shared" ca="1" si="37"/>
        <v>2</v>
      </c>
      <c r="C566" s="3">
        <f t="shared" ca="1" si="37"/>
        <v>6</v>
      </c>
      <c r="D566" s="2">
        <f t="shared" ca="1" si="34"/>
        <v>8</v>
      </c>
      <c r="E566" s="2">
        <f t="shared" ca="1" si="35"/>
        <v>1</v>
      </c>
    </row>
    <row r="567" spans="1:5" x14ac:dyDescent="0.3">
      <c r="A567" s="3">
        <f t="shared" si="36"/>
        <v>565</v>
      </c>
      <c r="B567" s="3">
        <f t="shared" ca="1" si="37"/>
        <v>2</v>
      </c>
      <c r="C567" s="3">
        <f t="shared" ca="1" si="37"/>
        <v>2</v>
      </c>
      <c r="D567" s="2">
        <f t="shared" ca="1" si="34"/>
        <v>4</v>
      </c>
      <c r="E567" s="2">
        <f t="shared" ca="1" si="35"/>
        <v>0</v>
      </c>
    </row>
    <row r="568" spans="1:5" x14ac:dyDescent="0.3">
      <c r="A568" s="3">
        <f t="shared" si="36"/>
        <v>566</v>
      </c>
      <c r="B568" s="3">
        <f t="shared" ca="1" si="37"/>
        <v>2</v>
      </c>
      <c r="C568" s="3">
        <f t="shared" ca="1" si="37"/>
        <v>4</v>
      </c>
      <c r="D568" s="2">
        <f t="shared" ca="1" si="34"/>
        <v>6</v>
      </c>
      <c r="E568" s="2">
        <f t="shared" ca="1" si="35"/>
        <v>0</v>
      </c>
    </row>
    <row r="569" spans="1:5" x14ac:dyDescent="0.3">
      <c r="A569" s="3">
        <f t="shared" si="36"/>
        <v>567</v>
      </c>
      <c r="B569" s="3">
        <f t="shared" ca="1" si="37"/>
        <v>5</v>
      </c>
      <c r="C569" s="3">
        <f t="shared" ca="1" si="37"/>
        <v>6</v>
      </c>
      <c r="D569" s="2">
        <f t="shared" ca="1" si="34"/>
        <v>11</v>
      </c>
      <c r="E569" s="2">
        <f t="shared" ca="1" si="35"/>
        <v>1</v>
      </c>
    </row>
    <row r="570" spans="1:5" x14ac:dyDescent="0.3">
      <c r="A570" s="3">
        <f t="shared" si="36"/>
        <v>568</v>
      </c>
      <c r="B570" s="3">
        <f t="shared" ca="1" si="37"/>
        <v>4</v>
      </c>
      <c r="C570" s="3">
        <f t="shared" ca="1" si="37"/>
        <v>5</v>
      </c>
      <c r="D570" s="2">
        <f t="shared" ca="1" si="34"/>
        <v>9</v>
      </c>
      <c r="E570" s="2">
        <f t="shared" ca="1" si="35"/>
        <v>1</v>
      </c>
    </row>
    <row r="571" spans="1:5" x14ac:dyDescent="0.3">
      <c r="A571" s="3">
        <f t="shared" si="36"/>
        <v>569</v>
      </c>
      <c r="B571" s="3">
        <f t="shared" ca="1" si="37"/>
        <v>6</v>
      </c>
      <c r="C571" s="3">
        <f t="shared" ca="1" si="37"/>
        <v>4</v>
      </c>
      <c r="D571" s="2">
        <f t="shared" ca="1" si="34"/>
        <v>10</v>
      </c>
      <c r="E571" s="2">
        <f t="shared" ca="1" si="35"/>
        <v>1</v>
      </c>
    </row>
    <row r="572" spans="1:5" x14ac:dyDescent="0.3">
      <c r="A572" s="3">
        <f t="shared" si="36"/>
        <v>570</v>
      </c>
      <c r="B572" s="3">
        <f t="shared" ca="1" si="37"/>
        <v>4</v>
      </c>
      <c r="C572" s="3">
        <f t="shared" ca="1" si="37"/>
        <v>3</v>
      </c>
      <c r="D572" s="2">
        <f t="shared" ca="1" si="34"/>
        <v>7</v>
      </c>
      <c r="E572" s="2">
        <f t="shared" ca="1" si="35"/>
        <v>0</v>
      </c>
    </row>
    <row r="573" spans="1:5" x14ac:dyDescent="0.3">
      <c r="A573" s="3">
        <f t="shared" si="36"/>
        <v>571</v>
      </c>
      <c r="B573" s="3">
        <f t="shared" ca="1" si="37"/>
        <v>6</v>
      </c>
      <c r="C573" s="3">
        <f t="shared" ca="1" si="37"/>
        <v>6</v>
      </c>
      <c r="D573" s="2">
        <f t="shared" ca="1" si="34"/>
        <v>12</v>
      </c>
      <c r="E573" s="2">
        <f t="shared" ca="1" si="35"/>
        <v>1</v>
      </c>
    </row>
    <row r="574" spans="1:5" x14ac:dyDescent="0.3">
      <c r="A574" s="3">
        <f t="shared" si="36"/>
        <v>572</v>
      </c>
      <c r="B574" s="3">
        <f t="shared" ca="1" si="37"/>
        <v>3</v>
      </c>
      <c r="C574" s="3">
        <f t="shared" ca="1" si="37"/>
        <v>2</v>
      </c>
      <c r="D574" s="2">
        <f t="shared" ca="1" si="34"/>
        <v>5</v>
      </c>
      <c r="E574" s="2">
        <f t="shared" ca="1" si="35"/>
        <v>0</v>
      </c>
    </row>
    <row r="575" spans="1:5" x14ac:dyDescent="0.3">
      <c r="A575" s="3">
        <f t="shared" si="36"/>
        <v>573</v>
      </c>
      <c r="B575" s="3">
        <f t="shared" ca="1" si="37"/>
        <v>3</v>
      </c>
      <c r="C575" s="3">
        <f t="shared" ca="1" si="37"/>
        <v>6</v>
      </c>
      <c r="D575" s="2">
        <f t="shared" ca="1" si="34"/>
        <v>9</v>
      </c>
      <c r="E575" s="2">
        <f t="shared" ca="1" si="35"/>
        <v>1</v>
      </c>
    </row>
    <row r="576" spans="1:5" x14ac:dyDescent="0.3">
      <c r="A576" s="3">
        <f t="shared" si="36"/>
        <v>574</v>
      </c>
      <c r="B576" s="3">
        <f t="shared" ca="1" si="37"/>
        <v>3</v>
      </c>
      <c r="C576" s="3">
        <f t="shared" ca="1" si="37"/>
        <v>4</v>
      </c>
      <c r="D576" s="2">
        <f t="shared" ca="1" si="34"/>
        <v>7</v>
      </c>
      <c r="E576" s="2">
        <f t="shared" ca="1" si="35"/>
        <v>0</v>
      </c>
    </row>
    <row r="577" spans="1:5" x14ac:dyDescent="0.3">
      <c r="A577" s="3">
        <f t="shared" si="36"/>
        <v>575</v>
      </c>
      <c r="B577" s="3">
        <f t="shared" ca="1" si="37"/>
        <v>5</v>
      </c>
      <c r="C577" s="3">
        <f t="shared" ca="1" si="37"/>
        <v>2</v>
      </c>
      <c r="D577" s="2">
        <f t="shared" ca="1" si="34"/>
        <v>7</v>
      </c>
      <c r="E577" s="2">
        <f t="shared" ca="1" si="35"/>
        <v>0</v>
      </c>
    </row>
    <row r="578" spans="1:5" x14ac:dyDescent="0.3">
      <c r="A578" s="3">
        <f t="shared" si="36"/>
        <v>576</v>
      </c>
      <c r="B578" s="3">
        <f t="shared" ca="1" si="37"/>
        <v>1</v>
      </c>
      <c r="C578" s="3">
        <f t="shared" ca="1" si="37"/>
        <v>4</v>
      </c>
      <c r="D578" s="2">
        <f t="shared" ca="1" si="34"/>
        <v>5</v>
      </c>
      <c r="E578" s="2">
        <f t="shared" ca="1" si="35"/>
        <v>0</v>
      </c>
    </row>
    <row r="579" spans="1:5" x14ac:dyDescent="0.3">
      <c r="A579" s="3">
        <f t="shared" si="36"/>
        <v>577</v>
      </c>
      <c r="B579" s="3">
        <f t="shared" ca="1" si="37"/>
        <v>5</v>
      </c>
      <c r="C579" s="3">
        <f t="shared" ca="1" si="37"/>
        <v>1</v>
      </c>
      <c r="D579" s="2">
        <f t="shared" ca="1" si="34"/>
        <v>6</v>
      </c>
      <c r="E579" s="2">
        <f t="shared" ca="1" si="35"/>
        <v>0</v>
      </c>
    </row>
    <row r="580" spans="1:5" x14ac:dyDescent="0.3">
      <c r="A580" s="3">
        <f t="shared" si="36"/>
        <v>578</v>
      </c>
      <c r="B580" s="3">
        <f t="shared" ca="1" si="37"/>
        <v>3</v>
      </c>
      <c r="C580" s="3">
        <f t="shared" ca="1" si="37"/>
        <v>3</v>
      </c>
      <c r="D580" s="2">
        <f t="shared" ref="D580:D643" ca="1" si="38">C580+B580</f>
        <v>6</v>
      </c>
      <c r="E580" s="2">
        <f t="shared" ref="E580:E643" ca="1" si="39">IF(D580&gt;=8,1,0)</f>
        <v>0</v>
      </c>
    </row>
    <row r="581" spans="1:5" x14ac:dyDescent="0.3">
      <c r="A581" s="3">
        <f t="shared" ref="A581:A644" si="40">A580+1</f>
        <v>579</v>
      </c>
      <c r="B581" s="3">
        <f t="shared" ref="B581:C644" ca="1" si="41">RANDBETWEEN(1,6)</f>
        <v>4</v>
      </c>
      <c r="C581" s="3">
        <f t="shared" ca="1" si="41"/>
        <v>4</v>
      </c>
      <c r="D581" s="2">
        <f t="shared" ca="1" si="38"/>
        <v>8</v>
      </c>
      <c r="E581" s="2">
        <f t="shared" ca="1" si="39"/>
        <v>1</v>
      </c>
    </row>
    <row r="582" spans="1:5" x14ac:dyDescent="0.3">
      <c r="A582" s="3">
        <f t="shared" si="40"/>
        <v>580</v>
      </c>
      <c r="B582" s="3">
        <f t="shared" ca="1" si="41"/>
        <v>5</v>
      </c>
      <c r="C582" s="3">
        <f t="shared" ca="1" si="41"/>
        <v>4</v>
      </c>
      <c r="D582" s="2">
        <f t="shared" ca="1" si="38"/>
        <v>9</v>
      </c>
      <c r="E582" s="2">
        <f t="shared" ca="1" si="39"/>
        <v>1</v>
      </c>
    </row>
    <row r="583" spans="1:5" x14ac:dyDescent="0.3">
      <c r="A583" s="3">
        <f t="shared" si="40"/>
        <v>581</v>
      </c>
      <c r="B583" s="3">
        <f t="shared" ca="1" si="41"/>
        <v>1</v>
      </c>
      <c r="C583" s="3">
        <f t="shared" ca="1" si="41"/>
        <v>1</v>
      </c>
      <c r="D583" s="2">
        <f t="shared" ca="1" si="38"/>
        <v>2</v>
      </c>
      <c r="E583" s="2">
        <f t="shared" ca="1" si="39"/>
        <v>0</v>
      </c>
    </row>
    <row r="584" spans="1:5" x14ac:dyDescent="0.3">
      <c r="A584" s="3">
        <f t="shared" si="40"/>
        <v>582</v>
      </c>
      <c r="B584" s="3">
        <f t="shared" ca="1" si="41"/>
        <v>6</v>
      </c>
      <c r="C584" s="3">
        <f t="shared" ca="1" si="41"/>
        <v>4</v>
      </c>
      <c r="D584" s="2">
        <f t="shared" ca="1" si="38"/>
        <v>10</v>
      </c>
      <c r="E584" s="2">
        <f t="shared" ca="1" si="39"/>
        <v>1</v>
      </c>
    </row>
    <row r="585" spans="1:5" x14ac:dyDescent="0.3">
      <c r="A585" s="3">
        <f t="shared" si="40"/>
        <v>583</v>
      </c>
      <c r="B585" s="3">
        <f t="shared" ca="1" si="41"/>
        <v>2</v>
      </c>
      <c r="C585" s="3">
        <f t="shared" ca="1" si="41"/>
        <v>3</v>
      </c>
      <c r="D585" s="2">
        <f t="shared" ca="1" si="38"/>
        <v>5</v>
      </c>
      <c r="E585" s="2">
        <f t="shared" ca="1" si="39"/>
        <v>0</v>
      </c>
    </row>
    <row r="586" spans="1:5" x14ac:dyDescent="0.3">
      <c r="A586" s="3">
        <f t="shared" si="40"/>
        <v>584</v>
      </c>
      <c r="B586" s="3">
        <f t="shared" ca="1" si="41"/>
        <v>5</v>
      </c>
      <c r="C586" s="3">
        <f t="shared" ca="1" si="41"/>
        <v>2</v>
      </c>
      <c r="D586" s="2">
        <f t="shared" ca="1" si="38"/>
        <v>7</v>
      </c>
      <c r="E586" s="2">
        <f t="shared" ca="1" si="39"/>
        <v>0</v>
      </c>
    </row>
    <row r="587" spans="1:5" x14ac:dyDescent="0.3">
      <c r="A587" s="3">
        <f t="shared" si="40"/>
        <v>585</v>
      </c>
      <c r="B587" s="3">
        <f t="shared" ca="1" si="41"/>
        <v>3</v>
      </c>
      <c r="C587" s="3">
        <f t="shared" ca="1" si="41"/>
        <v>2</v>
      </c>
      <c r="D587" s="2">
        <f t="shared" ca="1" si="38"/>
        <v>5</v>
      </c>
      <c r="E587" s="2">
        <f t="shared" ca="1" si="39"/>
        <v>0</v>
      </c>
    </row>
    <row r="588" spans="1:5" x14ac:dyDescent="0.3">
      <c r="A588" s="3">
        <f t="shared" si="40"/>
        <v>586</v>
      </c>
      <c r="B588" s="3">
        <f t="shared" ca="1" si="41"/>
        <v>5</v>
      </c>
      <c r="C588" s="3">
        <f t="shared" ca="1" si="41"/>
        <v>3</v>
      </c>
      <c r="D588" s="2">
        <f t="shared" ca="1" si="38"/>
        <v>8</v>
      </c>
      <c r="E588" s="2">
        <f t="shared" ca="1" si="39"/>
        <v>1</v>
      </c>
    </row>
    <row r="589" spans="1:5" x14ac:dyDescent="0.3">
      <c r="A589" s="3">
        <f t="shared" si="40"/>
        <v>587</v>
      </c>
      <c r="B589" s="3">
        <f t="shared" ca="1" si="41"/>
        <v>3</v>
      </c>
      <c r="C589" s="3">
        <f t="shared" ca="1" si="41"/>
        <v>1</v>
      </c>
      <c r="D589" s="2">
        <f t="shared" ca="1" si="38"/>
        <v>4</v>
      </c>
      <c r="E589" s="2">
        <f t="shared" ca="1" si="39"/>
        <v>0</v>
      </c>
    </row>
    <row r="590" spans="1:5" x14ac:dyDescent="0.3">
      <c r="A590" s="3">
        <f t="shared" si="40"/>
        <v>588</v>
      </c>
      <c r="B590" s="3">
        <f t="shared" ca="1" si="41"/>
        <v>3</v>
      </c>
      <c r="C590" s="3">
        <f t="shared" ca="1" si="41"/>
        <v>4</v>
      </c>
      <c r="D590" s="2">
        <f t="shared" ca="1" si="38"/>
        <v>7</v>
      </c>
      <c r="E590" s="2">
        <f t="shared" ca="1" si="39"/>
        <v>0</v>
      </c>
    </row>
    <row r="591" spans="1:5" x14ac:dyDescent="0.3">
      <c r="A591" s="3">
        <f t="shared" si="40"/>
        <v>589</v>
      </c>
      <c r="B591" s="3">
        <f t="shared" ca="1" si="41"/>
        <v>1</v>
      </c>
      <c r="C591" s="3">
        <f t="shared" ca="1" si="41"/>
        <v>1</v>
      </c>
      <c r="D591" s="2">
        <f t="shared" ca="1" si="38"/>
        <v>2</v>
      </c>
      <c r="E591" s="2">
        <f t="shared" ca="1" si="39"/>
        <v>0</v>
      </c>
    </row>
    <row r="592" spans="1:5" x14ac:dyDescent="0.3">
      <c r="A592" s="3">
        <f t="shared" si="40"/>
        <v>590</v>
      </c>
      <c r="B592" s="3">
        <f t="shared" ca="1" si="41"/>
        <v>4</v>
      </c>
      <c r="C592" s="3">
        <f t="shared" ca="1" si="41"/>
        <v>5</v>
      </c>
      <c r="D592" s="2">
        <f t="shared" ca="1" si="38"/>
        <v>9</v>
      </c>
      <c r="E592" s="2">
        <f t="shared" ca="1" si="39"/>
        <v>1</v>
      </c>
    </row>
    <row r="593" spans="1:5" x14ac:dyDescent="0.3">
      <c r="A593" s="3">
        <f t="shared" si="40"/>
        <v>591</v>
      </c>
      <c r="B593" s="3">
        <f t="shared" ca="1" si="41"/>
        <v>3</v>
      </c>
      <c r="C593" s="3">
        <f t="shared" ca="1" si="41"/>
        <v>6</v>
      </c>
      <c r="D593" s="2">
        <f t="shared" ca="1" si="38"/>
        <v>9</v>
      </c>
      <c r="E593" s="2">
        <f t="shared" ca="1" si="39"/>
        <v>1</v>
      </c>
    </row>
    <row r="594" spans="1:5" x14ac:dyDescent="0.3">
      <c r="A594" s="3">
        <f t="shared" si="40"/>
        <v>592</v>
      </c>
      <c r="B594" s="3">
        <f t="shared" ca="1" si="41"/>
        <v>3</v>
      </c>
      <c r="C594" s="3">
        <f t="shared" ca="1" si="41"/>
        <v>1</v>
      </c>
      <c r="D594" s="2">
        <f t="shared" ca="1" si="38"/>
        <v>4</v>
      </c>
      <c r="E594" s="2">
        <f t="shared" ca="1" si="39"/>
        <v>0</v>
      </c>
    </row>
    <row r="595" spans="1:5" x14ac:dyDescent="0.3">
      <c r="A595" s="3">
        <f t="shared" si="40"/>
        <v>593</v>
      </c>
      <c r="B595" s="3">
        <f t="shared" ca="1" si="41"/>
        <v>5</v>
      </c>
      <c r="C595" s="3">
        <f t="shared" ca="1" si="41"/>
        <v>6</v>
      </c>
      <c r="D595" s="2">
        <f t="shared" ca="1" si="38"/>
        <v>11</v>
      </c>
      <c r="E595" s="2">
        <f t="shared" ca="1" si="39"/>
        <v>1</v>
      </c>
    </row>
    <row r="596" spans="1:5" x14ac:dyDescent="0.3">
      <c r="A596" s="3">
        <f t="shared" si="40"/>
        <v>594</v>
      </c>
      <c r="B596" s="3">
        <f t="shared" ca="1" si="41"/>
        <v>5</v>
      </c>
      <c r="C596" s="3">
        <f t="shared" ca="1" si="41"/>
        <v>6</v>
      </c>
      <c r="D596" s="2">
        <f t="shared" ca="1" si="38"/>
        <v>11</v>
      </c>
      <c r="E596" s="2">
        <f t="shared" ca="1" si="39"/>
        <v>1</v>
      </c>
    </row>
    <row r="597" spans="1:5" x14ac:dyDescent="0.3">
      <c r="A597" s="3">
        <f t="shared" si="40"/>
        <v>595</v>
      </c>
      <c r="B597" s="3">
        <f t="shared" ca="1" si="41"/>
        <v>3</v>
      </c>
      <c r="C597" s="3">
        <f t="shared" ca="1" si="41"/>
        <v>2</v>
      </c>
      <c r="D597" s="2">
        <f t="shared" ca="1" si="38"/>
        <v>5</v>
      </c>
      <c r="E597" s="2">
        <f t="shared" ca="1" si="39"/>
        <v>0</v>
      </c>
    </row>
    <row r="598" spans="1:5" x14ac:dyDescent="0.3">
      <c r="A598" s="3">
        <f t="shared" si="40"/>
        <v>596</v>
      </c>
      <c r="B598" s="3">
        <f t="shared" ca="1" si="41"/>
        <v>2</v>
      </c>
      <c r="C598" s="3">
        <f t="shared" ca="1" si="41"/>
        <v>2</v>
      </c>
      <c r="D598" s="2">
        <f t="shared" ca="1" si="38"/>
        <v>4</v>
      </c>
      <c r="E598" s="2">
        <f t="shared" ca="1" si="39"/>
        <v>0</v>
      </c>
    </row>
    <row r="599" spans="1:5" x14ac:dyDescent="0.3">
      <c r="A599" s="3">
        <f t="shared" si="40"/>
        <v>597</v>
      </c>
      <c r="B599" s="3">
        <f t="shared" ca="1" si="41"/>
        <v>4</v>
      </c>
      <c r="C599" s="3">
        <f t="shared" ca="1" si="41"/>
        <v>4</v>
      </c>
      <c r="D599" s="2">
        <f t="shared" ca="1" si="38"/>
        <v>8</v>
      </c>
      <c r="E599" s="2">
        <f t="shared" ca="1" si="39"/>
        <v>1</v>
      </c>
    </row>
    <row r="600" spans="1:5" x14ac:dyDescent="0.3">
      <c r="A600" s="3">
        <f t="shared" si="40"/>
        <v>598</v>
      </c>
      <c r="B600" s="3">
        <f t="shared" ca="1" si="41"/>
        <v>6</v>
      </c>
      <c r="C600" s="3">
        <f t="shared" ca="1" si="41"/>
        <v>3</v>
      </c>
      <c r="D600" s="2">
        <f t="shared" ca="1" si="38"/>
        <v>9</v>
      </c>
      <c r="E600" s="2">
        <f t="shared" ca="1" si="39"/>
        <v>1</v>
      </c>
    </row>
    <row r="601" spans="1:5" x14ac:dyDescent="0.3">
      <c r="A601" s="3">
        <f t="shared" si="40"/>
        <v>599</v>
      </c>
      <c r="B601" s="3">
        <f t="shared" ca="1" si="41"/>
        <v>3</v>
      </c>
      <c r="C601" s="3">
        <f t="shared" ca="1" si="41"/>
        <v>1</v>
      </c>
      <c r="D601" s="2">
        <f t="shared" ca="1" si="38"/>
        <v>4</v>
      </c>
      <c r="E601" s="2">
        <f t="shared" ca="1" si="39"/>
        <v>0</v>
      </c>
    </row>
    <row r="602" spans="1:5" x14ac:dyDescent="0.3">
      <c r="A602" s="3">
        <f t="shared" si="40"/>
        <v>600</v>
      </c>
      <c r="B602" s="3">
        <f t="shared" ca="1" si="41"/>
        <v>5</v>
      </c>
      <c r="C602" s="3">
        <f t="shared" ca="1" si="41"/>
        <v>3</v>
      </c>
      <c r="D602" s="2">
        <f t="shared" ca="1" si="38"/>
        <v>8</v>
      </c>
      <c r="E602" s="2">
        <f t="shared" ca="1" si="39"/>
        <v>1</v>
      </c>
    </row>
    <row r="603" spans="1:5" x14ac:dyDescent="0.3">
      <c r="A603" s="3">
        <f t="shared" si="40"/>
        <v>601</v>
      </c>
      <c r="B603" s="3">
        <f t="shared" ca="1" si="41"/>
        <v>5</v>
      </c>
      <c r="C603" s="3">
        <f t="shared" ca="1" si="41"/>
        <v>2</v>
      </c>
      <c r="D603" s="2">
        <f t="shared" ca="1" si="38"/>
        <v>7</v>
      </c>
      <c r="E603" s="2">
        <f t="shared" ca="1" si="39"/>
        <v>0</v>
      </c>
    </row>
    <row r="604" spans="1:5" x14ac:dyDescent="0.3">
      <c r="A604" s="3">
        <f t="shared" si="40"/>
        <v>602</v>
      </c>
      <c r="B604" s="3">
        <f t="shared" ca="1" si="41"/>
        <v>1</v>
      </c>
      <c r="C604" s="3">
        <f t="shared" ca="1" si="41"/>
        <v>2</v>
      </c>
      <c r="D604" s="2">
        <f t="shared" ca="1" si="38"/>
        <v>3</v>
      </c>
      <c r="E604" s="2">
        <f t="shared" ca="1" si="39"/>
        <v>0</v>
      </c>
    </row>
    <row r="605" spans="1:5" x14ac:dyDescent="0.3">
      <c r="A605" s="3">
        <f t="shared" si="40"/>
        <v>603</v>
      </c>
      <c r="B605" s="3">
        <f t="shared" ca="1" si="41"/>
        <v>5</v>
      </c>
      <c r="C605" s="3">
        <f t="shared" ca="1" si="41"/>
        <v>4</v>
      </c>
      <c r="D605" s="2">
        <f t="shared" ca="1" si="38"/>
        <v>9</v>
      </c>
      <c r="E605" s="2">
        <f t="shared" ca="1" si="39"/>
        <v>1</v>
      </c>
    </row>
    <row r="606" spans="1:5" x14ac:dyDescent="0.3">
      <c r="A606" s="3">
        <f t="shared" si="40"/>
        <v>604</v>
      </c>
      <c r="B606" s="3">
        <f t="shared" ca="1" si="41"/>
        <v>2</v>
      </c>
      <c r="C606" s="3">
        <f t="shared" ca="1" si="41"/>
        <v>6</v>
      </c>
      <c r="D606" s="2">
        <f t="shared" ca="1" si="38"/>
        <v>8</v>
      </c>
      <c r="E606" s="2">
        <f t="shared" ca="1" si="39"/>
        <v>1</v>
      </c>
    </row>
    <row r="607" spans="1:5" x14ac:dyDescent="0.3">
      <c r="A607" s="3">
        <f t="shared" si="40"/>
        <v>605</v>
      </c>
      <c r="B607" s="3">
        <f t="shared" ca="1" si="41"/>
        <v>4</v>
      </c>
      <c r="C607" s="3">
        <f t="shared" ca="1" si="41"/>
        <v>5</v>
      </c>
      <c r="D607" s="2">
        <f t="shared" ca="1" si="38"/>
        <v>9</v>
      </c>
      <c r="E607" s="2">
        <f t="shared" ca="1" si="39"/>
        <v>1</v>
      </c>
    </row>
    <row r="608" spans="1:5" x14ac:dyDescent="0.3">
      <c r="A608" s="3">
        <f t="shared" si="40"/>
        <v>606</v>
      </c>
      <c r="B608" s="3">
        <f t="shared" ca="1" si="41"/>
        <v>4</v>
      </c>
      <c r="C608" s="3">
        <f t="shared" ca="1" si="41"/>
        <v>1</v>
      </c>
      <c r="D608" s="2">
        <f t="shared" ca="1" si="38"/>
        <v>5</v>
      </c>
      <c r="E608" s="2">
        <f t="shared" ca="1" si="39"/>
        <v>0</v>
      </c>
    </row>
    <row r="609" spans="1:5" x14ac:dyDescent="0.3">
      <c r="A609" s="3">
        <f t="shared" si="40"/>
        <v>607</v>
      </c>
      <c r="B609" s="3">
        <f t="shared" ca="1" si="41"/>
        <v>2</v>
      </c>
      <c r="C609" s="3">
        <f t="shared" ca="1" si="41"/>
        <v>1</v>
      </c>
      <c r="D609" s="2">
        <f t="shared" ca="1" si="38"/>
        <v>3</v>
      </c>
      <c r="E609" s="2">
        <f t="shared" ca="1" si="39"/>
        <v>0</v>
      </c>
    </row>
    <row r="610" spans="1:5" x14ac:dyDescent="0.3">
      <c r="A610" s="3">
        <f t="shared" si="40"/>
        <v>608</v>
      </c>
      <c r="B610" s="3">
        <f t="shared" ca="1" si="41"/>
        <v>2</v>
      </c>
      <c r="C610" s="3">
        <f t="shared" ca="1" si="41"/>
        <v>6</v>
      </c>
      <c r="D610" s="2">
        <f t="shared" ca="1" si="38"/>
        <v>8</v>
      </c>
      <c r="E610" s="2">
        <f t="shared" ca="1" si="39"/>
        <v>1</v>
      </c>
    </row>
    <row r="611" spans="1:5" x14ac:dyDescent="0.3">
      <c r="A611" s="3">
        <f t="shared" si="40"/>
        <v>609</v>
      </c>
      <c r="B611" s="3">
        <f t="shared" ca="1" si="41"/>
        <v>2</v>
      </c>
      <c r="C611" s="3">
        <f t="shared" ca="1" si="41"/>
        <v>1</v>
      </c>
      <c r="D611" s="2">
        <f t="shared" ca="1" si="38"/>
        <v>3</v>
      </c>
      <c r="E611" s="2">
        <f t="shared" ca="1" si="39"/>
        <v>0</v>
      </c>
    </row>
    <row r="612" spans="1:5" x14ac:dyDescent="0.3">
      <c r="A612" s="3">
        <f t="shared" si="40"/>
        <v>610</v>
      </c>
      <c r="B612" s="3">
        <f t="shared" ca="1" si="41"/>
        <v>6</v>
      </c>
      <c r="C612" s="3">
        <f t="shared" ca="1" si="41"/>
        <v>2</v>
      </c>
      <c r="D612" s="2">
        <f t="shared" ca="1" si="38"/>
        <v>8</v>
      </c>
      <c r="E612" s="2">
        <f t="shared" ca="1" si="39"/>
        <v>1</v>
      </c>
    </row>
    <row r="613" spans="1:5" x14ac:dyDescent="0.3">
      <c r="A613" s="3">
        <f t="shared" si="40"/>
        <v>611</v>
      </c>
      <c r="B613" s="3">
        <f t="shared" ca="1" si="41"/>
        <v>2</v>
      </c>
      <c r="C613" s="3">
        <f t="shared" ca="1" si="41"/>
        <v>3</v>
      </c>
      <c r="D613" s="2">
        <f t="shared" ca="1" si="38"/>
        <v>5</v>
      </c>
      <c r="E613" s="2">
        <f t="shared" ca="1" si="39"/>
        <v>0</v>
      </c>
    </row>
    <row r="614" spans="1:5" x14ac:dyDescent="0.3">
      <c r="A614" s="3">
        <f t="shared" si="40"/>
        <v>612</v>
      </c>
      <c r="B614" s="3">
        <f t="shared" ca="1" si="41"/>
        <v>2</v>
      </c>
      <c r="C614" s="3">
        <f t="shared" ca="1" si="41"/>
        <v>2</v>
      </c>
      <c r="D614" s="2">
        <f t="shared" ca="1" si="38"/>
        <v>4</v>
      </c>
      <c r="E614" s="2">
        <f t="shared" ca="1" si="39"/>
        <v>0</v>
      </c>
    </row>
    <row r="615" spans="1:5" x14ac:dyDescent="0.3">
      <c r="A615" s="3">
        <f t="shared" si="40"/>
        <v>613</v>
      </c>
      <c r="B615" s="3">
        <f t="shared" ca="1" si="41"/>
        <v>6</v>
      </c>
      <c r="C615" s="3">
        <f t="shared" ca="1" si="41"/>
        <v>4</v>
      </c>
      <c r="D615" s="2">
        <f t="shared" ca="1" si="38"/>
        <v>10</v>
      </c>
      <c r="E615" s="2">
        <f t="shared" ca="1" si="39"/>
        <v>1</v>
      </c>
    </row>
    <row r="616" spans="1:5" x14ac:dyDescent="0.3">
      <c r="A616" s="3">
        <f t="shared" si="40"/>
        <v>614</v>
      </c>
      <c r="B616" s="3">
        <f t="shared" ca="1" si="41"/>
        <v>1</v>
      </c>
      <c r="C616" s="3">
        <f t="shared" ca="1" si="41"/>
        <v>1</v>
      </c>
      <c r="D616" s="2">
        <f t="shared" ca="1" si="38"/>
        <v>2</v>
      </c>
      <c r="E616" s="2">
        <f t="shared" ca="1" si="39"/>
        <v>0</v>
      </c>
    </row>
    <row r="617" spans="1:5" x14ac:dyDescent="0.3">
      <c r="A617" s="3">
        <f t="shared" si="40"/>
        <v>615</v>
      </c>
      <c r="B617" s="3">
        <f t="shared" ca="1" si="41"/>
        <v>2</v>
      </c>
      <c r="C617" s="3">
        <f t="shared" ca="1" si="41"/>
        <v>4</v>
      </c>
      <c r="D617" s="2">
        <f t="shared" ca="1" si="38"/>
        <v>6</v>
      </c>
      <c r="E617" s="2">
        <f t="shared" ca="1" si="39"/>
        <v>0</v>
      </c>
    </row>
    <row r="618" spans="1:5" x14ac:dyDescent="0.3">
      <c r="A618" s="3">
        <f t="shared" si="40"/>
        <v>616</v>
      </c>
      <c r="B618" s="3">
        <f t="shared" ca="1" si="41"/>
        <v>6</v>
      </c>
      <c r="C618" s="3">
        <f t="shared" ca="1" si="41"/>
        <v>4</v>
      </c>
      <c r="D618" s="2">
        <f t="shared" ca="1" si="38"/>
        <v>10</v>
      </c>
      <c r="E618" s="2">
        <f t="shared" ca="1" si="39"/>
        <v>1</v>
      </c>
    </row>
    <row r="619" spans="1:5" x14ac:dyDescent="0.3">
      <c r="A619" s="3">
        <f t="shared" si="40"/>
        <v>617</v>
      </c>
      <c r="B619" s="3">
        <f t="shared" ca="1" si="41"/>
        <v>4</v>
      </c>
      <c r="C619" s="3">
        <f t="shared" ca="1" si="41"/>
        <v>1</v>
      </c>
      <c r="D619" s="2">
        <f t="shared" ca="1" si="38"/>
        <v>5</v>
      </c>
      <c r="E619" s="2">
        <f t="shared" ca="1" si="39"/>
        <v>0</v>
      </c>
    </row>
    <row r="620" spans="1:5" x14ac:dyDescent="0.3">
      <c r="A620" s="3">
        <f t="shared" si="40"/>
        <v>618</v>
      </c>
      <c r="B620" s="3">
        <f t="shared" ca="1" si="41"/>
        <v>3</v>
      </c>
      <c r="C620" s="3">
        <f t="shared" ca="1" si="41"/>
        <v>4</v>
      </c>
      <c r="D620" s="2">
        <f t="shared" ca="1" si="38"/>
        <v>7</v>
      </c>
      <c r="E620" s="2">
        <f t="shared" ca="1" si="39"/>
        <v>0</v>
      </c>
    </row>
    <row r="621" spans="1:5" x14ac:dyDescent="0.3">
      <c r="A621" s="3">
        <f t="shared" si="40"/>
        <v>619</v>
      </c>
      <c r="B621" s="3">
        <f t="shared" ca="1" si="41"/>
        <v>2</v>
      </c>
      <c r="C621" s="3">
        <f t="shared" ca="1" si="41"/>
        <v>3</v>
      </c>
      <c r="D621" s="2">
        <f t="shared" ca="1" si="38"/>
        <v>5</v>
      </c>
      <c r="E621" s="2">
        <f t="shared" ca="1" si="39"/>
        <v>0</v>
      </c>
    </row>
    <row r="622" spans="1:5" x14ac:dyDescent="0.3">
      <c r="A622" s="3">
        <f t="shared" si="40"/>
        <v>620</v>
      </c>
      <c r="B622" s="3">
        <f t="shared" ca="1" si="41"/>
        <v>1</v>
      </c>
      <c r="C622" s="3">
        <f t="shared" ca="1" si="41"/>
        <v>2</v>
      </c>
      <c r="D622" s="2">
        <f t="shared" ca="1" si="38"/>
        <v>3</v>
      </c>
      <c r="E622" s="2">
        <f t="shared" ca="1" si="39"/>
        <v>0</v>
      </c>
    </row>
    <row r="623" spans="1:5" x14ac:dyDescent="0.3">
      <c r="A623" s="3">
        <f t="shared" si="40"/>
        <v>621</v>
      </c>
      <c r="B623" s="3">
        <f t="shared" ca="1" si="41"/>
        <v>5</v>
      </c>
      <c r="C623" s="3">
        <f t="shared" ca="1" si="41"/>
        <v>6</v>
      </c>
      <c r="D623" s="2">
        <f t="shared" ca="1" si="38"/>
        <v>11</v>
      </c>
      <c r="E623" s="2">
        <f t="shared" ca="1" si="39"/>
        <v>1</v>
      </c>
    </row>
    <row r="624" spans="1:5" x14ac:dyDescent="0.3">
      <c r="A624" s="3">
        <f t="shared" si="40"/>
        <v>622</v>
      </c>
      <c r="B624" s="3">
        <f t="shared" ca="1" si="41"/>
        <v>1</v>
      </c>
      <c r="C624" s="3">
        <f t="shared" ca="1" si="41"/>
        <v>4</v>
      </c>
      <c r="D624" s="2">
        <f t="shared" ca="1" si="38"/>
        <v>5</v>
      </c>
      <c r="E624" s="2">
        <f t="shared" ca="1" si="39"/>
        <v>0</v>
      </c>
    </row>
    <row r="625" spans="1:5" x14ac:dyDescent="0.3">
      <c r="A625" s="3">
        <f t="shared" si="40"/>
        <v>623</v>
      </c>
      <c r="B625" s="3">
        <f t="shared" ca="1" si="41"/>
        <v>3</v>
      </c>
      <c r="C625" s="3">
        <f t="shared" ca="1" si="41"/>
        <v>4</v>
      </c>
      <c r="D625" s="2">
        <f t="shared" ca="1" si="38"/>
        <v>7</v>
      </c>
      <c r="E625" s="2">
        <f t="shared" ca="1" si="39"/>
        <v>0</v>
      </c>
    </row>
    <row r="626" spans="1:5" x14ac:dyDescent="0.3">
      <c r="A626" s="3">
        <f t="shared" si="40"/>
        <v>624</v>
      </c>
      <c r="B626" s="3">
        <f t="shared" ca="1" si="41"/>
        <v>6</v>
      </c>
      <c r="C626" s="3">
        <f t="shared" ca="1" si="41"/>
        <v>5</v>
      </c>
      <c r="D626" s="2">
        <f t="shared" ca="1" si="38"/>
        <v>11</v>
      </c>
      <c r="E626" s="2">
        <f t="shared" ca="1" si="39"/>
        <v>1</v>
      </c>
    </row>
    <row r="627" spans="1:5" x14ac:dyDescent="0.3">
      <c r="A627" s="3">
        <f t="shared" si="40"/>
        <v>625</v>
      </c>
      <c r="B627" s="3">
        <f t="shared" ca="1" si="41"/>
        <v>1</v>
      </c>
      <c r="C627" s="3">
        <f t="shared" ca="1" si="41"/>
        <v>3</v>
      </c>
      <c r="D627" s="2">
        <f t="shared" ca="1" si="38"/>
        <v>4</v>
      </c>
      <c r="E627" s="2">
        <f t="shared" ca="1" si="39"/>
        <v>0</v>
      </c>
    </row>
    <row r="628" spans="1:5" x14ac:dyDescent="0.3">
      <c r="A628" s="3">
        <f t="shared" si="40"/>
        <v>626</v>
      </c>
      <c r="B628" s="3">
        <f t="shared" ca="1" si="41"/>
        <v>1</v>
      </c>
      <c r="C628" s="3">
        <f t="shared" ca="1" si="41"/>
        <v>2</v>
      </c>
      <c r="D628" s="2">
        <f t="shared" ca="1" si="38"/>
        <v>3</v>
      </c>
      <c r="E628" s="2">
        <f t="shared" ca="1" si="39"/>
        <v>0</v>
      </c>
    </row>
    <row r="629" spans="1:5" x14ac:dyDescent="0.3">
      <c r="A629" s="3">
        <f t="shared" si="40"/>
        <v>627</v>
      </c>
      <c r="B629" s="3">
        <f t="shared" ca="1" si="41"/>
        <v>1</v>
      </c>
      <c r="C629" s="3">
        <f t="shared" ca="1" si="41"/>
        <v>6</v>
      </c>
      <c r="D629" s="2">
        <f t="shared" ca="1" si="38"/>
        <v>7</v>
      </c>
      <c r="E629" s="2">
        <f t="shared" ca="1" si="39"/>
        <v>0</v>
      </c>
    </row>
    <row r="630" spans="1:5" x14ac:dyDescent="0.3">
      <c r="A630" s="3">
        <f t="shared" si="40"/>
        <v>628</v>
      </c>
      <c r="B630" s="3">
        <f t="shared" ca="1" si="41"/>
        <v>6</v>
      </c>
      <c r="C630" s="3">
        <f t="shared" ca="1" si="41"/>
        <v>3</v>
      </c>
      <c r="D630" s="2">
        <f t="shared" ca="1" si="38"/>
        <v>9</v>
      </c>
      <c r="E630" s="2">
        <f t="shared" ca="1" si="39"/>
        <v>1</v>
      </c>
    </row>
    <row r="631" spans="1:5" x14ac:dyDescent="0.3">
      <c r="A631" s="3">
        <f t="shared" si="40"/>
        <v>629</v>
      </c>
      <c r="B631" s="3">
        <f t="shared" ca="1" si="41"/>
        <v>5</v>
      </c>
      <c r="C631" s="3">
        <f t="shared" ca="1" si="41"/>
        <v>3</v>
      </c>
      <c r="D631" s="2">
        <f t="shared" ca="1" si="38"/>
        <v>8</v>
      </c>
      <c r="E631" s="2">
        <f t="shared" ca="1" si="39"/>
        <v>1</v>
      </c>
    </row>
    <row r="632" spans="1:5" x14ac:dyDescent="0.3">
      <c r="A632" s="3">
        <f t="shared" si="40"/>
        <v>630</v>
      </c>
      <c r="B632" s="3">
        <f t="shared" ca="1" si="41"/>
        <v>5</v>
      </c>
      <c r="C632" s="3">
        <f t="shared" ca="1" si="41"/>
        <v>4</v>
      </c>
      <c r="D632" s="2">
        <f t="shared" ca="1" si="38"/>
        <v>9</v>
      </c>
      <c r="E632" s="2">
        <f t="shared" ca="1" si="39"/>
        <v>1</v>
      </c>
    </row>
    <row r="633" spans="1:5" x14ac:dyDescent="0.3">
      <c r="A633" s="3">
        <f t="shared" si="40"/>
        <v>631</v>
      </c>
      <c r="B633" s="3">
        <f t="shared" ca="1" si="41"/>
        <v>3</v>
      </c>
      <c r="C633" s="3">
        <f t="shared" ca="1" si="41"/>
        <v>2</v>
      </c>
      <c r="D633" s="2">
        <f t="shared" ca="1" si="38"/>
        <v>5</v>
      </c>
      <c r="E633" s="2">
        <f t="shared" ca="1" si="39"/>
        <v>0</v>
      </c>
    </row>
    <row r="634" spans="1:5" x14ac:dyDescent="0.3">
      <c r="A634" s="3">
        <f t="shared" si="40"/>
        <v>632</v>
      </c>
      <c r="B634" s="3">
        <f t="shared" ca="1" si="41"/>
        <v>1</v>
      </c>
      <c r="C634" s="3">
        <f t="shared" ca="1" si="41"/>
        <v>3</v>
      </c>
      <c r="D634" s="2">
        <f t="shared" ca="1" si="38"/>
        <v>4</v>
      </c>
      <c r="E634" s="2">
        <f t="shared" ca="1" si="39"/>
        <v>0</v>
      </c>
    </row>
    <row r="635" spans="1:5" x14ac:dyDescent="0.3">
      <c r="A635" s="3">
        <f t="shared" si="40"/>
        <v>633</v>
      </c>
      <c r="B635" s="3">
        <f t="shared" ca="1" si="41"/>
        <v>3</v>
      </c>
      <c r="C635" s="3">
        <f t="shared" ca="1" si="41"/>
        <v>5</v>
      </c>
      <c r="D635" s="2">
        <f t="shared" ca="1" si="38"/>
        <v>8</v>
      </c>
      <c r="E635" s="2">
        <f t="shared" ca="1" si="39"/>
        <v>1</v>
      </c>
    </row>
    <row r="636" spans="1:5" x14ac:dyDescent="0.3">
      <c r="A636" s="3">
        <f t="shared" si="40"/>
        <v>634</v>
      </c>
      <c r="B636" s="3">
        <f t="shared" ca="1" si="41"/>
        <v>3</v>
      </c>
      <c r="C636" s="3">
        <f t="shared" ca="1" si="41"/>
        <v>1</v>
      </c>
      <c r="D636" s="2">
        <f t="shared" ca="1" si="38"/>
        <v>4</v>
      </c>
      <c r="E636" s="2">
        <f t="shared" ca="1" si="39"/>
        <v>0</v>
      </c>
    </row>
    <row r="637" spans="1:5" x14ac:dyDescent="0.3">
      <c r="A637" s="3">
        <f t="shared" si="40"/>
        <v>635</v>
      </c>
      <c r="B637" s="3">
        <f t="shared" ca="1" si="41"/>
        <v>6</v>
      </c>
      <c r="C637" s="3">
        <f t="shared" ca="1" si="41"/>
        <v>2</v>
      </c>
      <c r="D637" s="2">
        <f t="shared" ca="1" si="38"/>
        <v>8</v>
      </c>
      <c r="E637" s="2">
        <f t="shared" ca="1" si="39"/>
        <v>1</v>
      </c>
    </row>
    <row r="638" spans="1:5" x14ac:dyDescent="0.3">
      <c r="A638" s="3">
        <f t="shared" si="40"/>
        <v>636</v>
      </c>
      <c r="B638" s="3">
        <f t="shared" ca="1" si="41"/>
        <v>1</v>
      </c>
      <c r="C638" s="3">
        <f t="shared" ca="1" si="41"/>
        <v>4</v>
      </c>
      <c r="D638" s="2">
        <f t="shared" ca="1" si="38"/>
        <v>5</v>
      </c>
      <c r="E638" s="2">
        <f t="shared" ca="1" si="39"/>
        <v>0</v>
      </c>
    </row>
    <row r="639" spans="1:5" x14ac:dyDescent="0.3">
      <c r="A639" s="3">
        <f t="shared" si="40"/>
        <v>637</v>
      </c>
      <c r="B639" s="3">
        <f t="shared" ca="1" si="41"/>
        <v>4</v>
      </c>
      <c r="C639" s="3">
        <f t="shared" ca="1" si="41"/>
        <v>3</v>
      </c>
      <c r="D639" s="2">
        <f t="shared" ca="1" si="38"/>
        <v>7</v>
      </c>
      <c r="E639" s="2">
        <f t="shared" ca="1" si="39"/>
        <v>0</v>
      </c>
    </row>
    <row r="640" spans="1:5" x14ac:dyDescent="0.3">
      <c r="A640" s="3">
        <f t="shared" si="40"/>
        <v>638</v>
      </c>
      <c r="B640" s="3">
        <f t="shared" ca="1" si="41"/>
        <v>5</v>
      </c>
      <c r="C640" s="3">
        <f t="shared" ca="1" si="41"/>
        <v>5</v>
      </c>
      <c r="D640" s="2">
        <f t="shared" ca="1" si="38"/>
        <v>10</v>
      </c>
      <c r="E640" s="2">
        <f t="shared" ca="1" si="39"/>
        <v>1</v>
      </c>
    </row>
    <row r="641" spans="1:5" x14ac:dyDescent="0.3">
      <c r="A641" s="3">
        <f t="shared" si="40"/>
        <v>639</v>
      </c>
      <c r="B641" s="3">
        <f t="shared" ca="1" si="41"/>
        <v>6</v>
      </c>
      <c r="C641" s="3">
        <f t="shared" ca="1" si="41"/>
        <v>5</v>
      </c>
      <c r="D641" s="2">
        <f t="shared" ca="1" si="38"/>
        <v>11</v>
      </c>
      <c r="E641" s="2">
        <f t="shared" ca="1" si="39"/>
        <v>1</v>
      </c>
    </row>
    <row r="642" spans="1:5" x14ac:dyDescent="0.3">
      <c r="A642" s="3">
        <f t="shared" si="40"/>
        <v>640</v>
      </c>
      <c r="B642" s="3">
        <f t="shared" ca="1" si="41"/>
        <v>4</v>
      </c>
      <c r="C642" s="3">
        <f t="shared" ca="1" si="41"/>
        <v>1</v>
      </c>
      <c r="D642" s="2">
        <f t="shared" ca="1" si="38"/>
        <v>5</v>
      </c>
      <c r="E642" s="2">
        <f t="shared" ca="1" si="39"/>
        <v>0</v>
      </c>
    </row>
    <row r="643" spans="1:5" x14ac:dyDescent="0.3">
      <c r="A643" s="3">
        <f t="shared" si="40"/>
        <v>641</v>
      </c>
      <c r="B643" s="3">
        <f t="shared" ca="1" si="41"/>
        <v>6</v>
      </c>
      <c r="C643" s="3">
        <f t="shared" ca="1" si="41"/>
        <v>5</v>
      </c>
      <c r="D643" s="2">
        <f t="shared" ca="1" si="38"/>
        <v>11</v>
      </c>
      <c r="E643" s="2">
        <f t="shared" ca="1" si="39"/>
        <v>1</v>
      </c>
    </row>
    <row r="644" spans="1:5" x14ac:dyDescent="0.3">
      <c r="A644" s="3">
        <f t="shared" si="40"/>
        <v>642</v>
      </c>
      <c r="B644" s="3">
        <f t="shared" ca="1" si="41"/>
        <v>4</v>
      </c>
      <c r="C644" s="3">
        <f t="shared" ca="1" si="41"/>
        <v>4</v>
      </c>
      <c r="D644" s="2">
        <f t="shared" ref="D644:D707" ca="1" si="42">C644+B644</f>
        <v>8</v>
      </c>
      <c r="E644" s="2">
        <f t="shared" ref="E644:E707" ca="1" si="43">IF(D644&gt;=8,1,0)</f>
        <v>1</v>
      </c>
    </row>
    <row r="645" spans="1:5" x14ac:dyDescent="0.3">
      <c r="A645" s="3">
        <f t="shared" ref="A645:A708" si="44">A644+1</f>
        <v>643</v>
      </c>
      <c r="B645" s="3">
        <f t="shared" ref="B645:C708" ca="1" si="45">RANDBETWEEN(1,6)</f>
        <v>4</v>
      </c>
      <c r="C645" s="3">
        <f t="shared" ca="1" si="45"/>
        <v>3</v>
      </c>
      <c r="D645" s="2">
        <f t="shared" ca="1" si="42"/>
        <v>7</v>
      </c>
      <c r="E645" s="2">
        <f t="shared" ca="1" si="43"/>
        <v>0</v>
      </c>
    </row>
    <row r="646" spans="1:5" x14ac:dyDescent="0.3">
      <c r="A646" s="3">
        <f t="shared" si="44"/>
        <v>644</v>
      </c>
      <c r="B646" s="3">
        <f t="shared" ca="1" si="45"/>
        <v>6</v>
      </c>
      <c r="C646" s="3">
        <f t="shared" ca="1" si="45"/>
        <v>5</v>
      </c>
      <c r="D646" s="2">
        <f t="shared" ca="1" si="42"/>
        <v>11</v>
      </c>
      <c r="E646" s="2">
        <f t="shared" ca="1" si="43"/>
        <v>1</v>
      </c>
    </row>
    <row r="647" spans="1:5" x14ac:dyDescent="0.3">
      <c r="A647" s="3">
        <f t="shared" si="44"/>
        <v>645</v>
      </c>
      <c r="B647" s="3">
        <f t="shared" ca="1" si="45"/>
        <v>2</v>
      </c>
      <c r="C647" s="3">
        <f t="shared" ca="1" si="45"/>
        <v>2</v>
      </c>
      <c r="D647" s="2">
        <f t="shared" ca="1" si="42"/>
        <v>4</v>
      </c>
      <c r="E647" s="2">
        <f t="shared" ca="1" si="43"/>
        <v>0</v>
      </c>
    </row>
    <row r="648" spans="1:5" x14ac:dyDescent="0.3">
      <c r="A648" s="3">
        <f t="shared" si="44"/>
        <v>646</v>
      </c>
      <c r="B648" s="3">
        <f t="shared" ca="1" si="45"/>
        <v>2</v>
      </c>
      <c r="C648" s="3">
        <f t="shared" ca="1" si="45"/>
        <v>4</v>
      </c>
      <c r="D648" s="2">
        <f t="shared" ca="1" si="42"/>
        <v>6</v>
      </c>
      <c r="E648" s="2">
        <f t="shared" ca="1" si="43"/>
        <v>0</v>
      </c>
    </row>
    <row r="649" spans="1:5" x14ac:dyDescent="0.3">
      <c r="A649" s="3">
        <f t="shared" si="44"/>
        <v>647</v>
      </c>
      <c r="B649" s="3">
        <f t="shared" ca="1" si="45"/>
        <v>3</v>
      </c>
      <c r="C649" s="3">
        <f t="shared" ca="1" si="45"/>
        <v>1</v>
      </c>
      <c r="D649" s="2">
        <f t="shared" ca="1" si="42"/>
        <v>4</v>
      </c>
      <c r="E649" s="2">
        <f t="shared" ca="1" si="43"/>
        <v>0</v>
      </c>
    </row>
    <row r="650" spans="1:5" x14ac:dyDescent="0.3">
      <c r="A650" s="3">
        <f t="shared" si="44"/>
        <v>648</v>
      </c>
      <c r="B650" s="3">
        <f t="shared" ca="1" si="45"/>
        <v>2</v>
      </c>
      <c r="C650" s="3">
        <f t="shared" ca="1" si="45"/>
        <v>1</v>
      </c>
      <c r="D650" s="2">
        <f t="shared" ca="1" si="42"/>
        <v>3</v>
      </c>
      <c r="E650" s="2">
        <f t="shared" ca="1" si="43"/>
        <v>0</v>
      </c>
    </row>
    <row r="651" spans="1:5" x14ac:dyDescent="0.3">
      <c r="A651" s="3">
        <f t="shared" si="44"/>
        <v>649</v>
      </c>
      <c r="B651" s="3">
        <f t="shared" ca="1" si="45"/>
        <v>5</v>
      </c>
      <c r="C651" s="3">
        <f t="shared" ca="1" si="45"/>
        <v>5</v>
      </c>
      <c r="D651" s="2">
        <f t="shared" ca="1" si="42"/>
        <v>10</v>
      </c>
      <c r="E651" s="2">
        <f t="shared" ca="1" si="43"/>
        <v>1</v>
      </c>
    </row>
    <row r="652" spans="1:5" x14ac:dyDescent="0.3">
      <c r="A652" s="3">
        <f t="shared" si="44"/>
        <v>650</v>
      </c>
      <c r="B652" s="3">
        <f t="shared" ca="1" si="45"/>
        <v>1</v>
      </c>
      <c r="C652" s="3">
        <f t="shared" ca="1" si="45"/>
        <v>3</v>
      </c>
      <c r="D652" s="2">
        <f t="shared" ca="1" si="42"/>
        <v>4</v>
      </c>
      <c r="E652" s="2">
        <f t="shared" ca="1" si="43"/>
        <v>0</v>
      </c>
    </row>
    <row r="653" spans="1:5" x14ac:dyDescent="0.3">
      <c r="A653" s="3">
        <f t="shared" si="44"/>
        <v>651</v>
      </c>
      <c r="B653" s="3">
        <f t="shared" ca="1" si="45"/>
        <v>3</v>
      </c>
      <c r="C653" s="3">
        <f t="shared" ca="1" si="45"/>
        <v>5</v>
      </c>
      <c r="D653" s="2">
        <f t="shared" ca="1" si="42"/>
        <v>8</v>
      </c>
      <c r="E653" s="2">
        <f t="shared" ca="1" si="43"/>
        <v>1</v>
      </c>
    </row>
    <row r="654" spans="1:5" x14ac:dyDescent="0.3">
      <c r="A654" s="3">
        <f t="shared" si="44"/>
        <v>652</v>
      </c>
      <c r="B654" s="3">
        <f t="shared" ca="1" si="45"/>
        <v>4</v>
      </c>
      <c r="C654" s="3">
        <f t="shared" ca="1" si="45"/>
        <v>1</v>
      </c>
      <c r="D654" s="2">
        <f t="shared" ca="1" si="42"/>
        <v>5</v>
      </c>
      <c r="E654" s="2">
        <f t="shared" ca="1" si="43"/>
        <v>0</v>
      </c>
    </row>
    <row r="655" spans="1:5" x14ac:dyDescent="0.3">
      <c r="A655" s="3">
        <f t="shared" si="44"/>
        <v>653</v>
      </c>
      <c r="B655" s="3">
        <f t="shared" ca="1" si="45"/>
        <v>1</v>
      </c>
      <c r="C655" s="3">
        <f t="shared" ca="1" si="45"/>
        <v>4</v>
      </c>
      <c r="D655" s="2">
        <f t="shared" ca="1" si="42"/>
        <v>5</v>
      </c>
      <c r="E655" s="2">
        <f t="shared" ca="1" si="43"/>
        <v>0</v>
      </c>
    </row>
    <row r="656" spans="1:5" x14ac:dyDescent="0.3">
      <c r="A656" s="3">
        <f t="shared" si="44"/>
        <v>654</v>
      </c>
      <c r="B656" s="3">
        <f t="shared" ca="1" si="45"/>
        <v>1</v>
      </c>
      <c r="C656" s="3">
        <f t="shared" ca="1" si="45"/>
        <v>3</v>
      </c>
      <c r="D656" s="2">
        <f t="shared" ca="1" si="42"/>
        <v>4</v>
      </c>
      <c r="E656" s="2">
        <f t="shared" ca="1" si="43"/>
        <v>0</v>
      </c>
    </row>
    <row r="657" spans="1:5" x14ac:dyDescent="0.3">
      <c r="A657" s="3">
        <f t="shared" si="44"/>
        <v>655</v>
      </c>
      <c r="B657" s="3">
        <f t="shared" ca="1" si="45"/>
        <v>6</v>
      </c>
      <c r="C657" s="3">
        <f t="shared" ca="1" si="45"/>
        <v>6</v>
      </c>
      <c r="D657" s="2">
        <f t="shared" ca="1" si="42"/>
        <v>12</v>
      </c>
      <c r="E657" s="2">
        <f t="shared" ca="1" si="43"/>
        <v>1</v>
      </c>
    </row>
    <row r="658" spans="1:5" x14ac:dyDescent="0.3">
      <c r="A658" s="3">
        <f t="shared" si="44"/>
        <v>656</v>
      </c>
      <c r="B658" s="3">
        <f t="shared" ca="1" si="45"/>
        <v>3</v>
      </c>
      <c r="C658" s="3">
        <f t="shared" ca="1" si="45"/>
        <v>6</v>
      </c>
      <c r="D658" s="2">
        <f t="shared" ca="1" si="42"/>
        <v>9</v>
      </c>
      <c r="E658" s="2">
        <f t="shared" ca="1" si="43"/>
        <v>1</v>
      </c>
    </row>
    <row r="659" spans="1:5" x14ac:dyDescent="0.3">
      <c r="A659" s="3">
        <f t="shared" si="44"/>
        <v>657</v>
      </c>
      <c r="B659" s="3">
        <f t="shared" ca="1" si="45"/>
        <v>1</v>
      </c>
      <c r="C659" s="3">
        <f t="shared" ca="1" si="45"/>
        <v>1</v>
      </c>
      <c r="D659" s="2">
        <f t="shared" ca="1" si="42"/>
        <v>2</v>
      </c>
      <c r="E659" s="2">
        <f t="shared" ca="1" si="43"/>
        <v>0</v>
      </c>
    </row>
    <row r="660" spans="1:5" x14ac:dyDescent="0.3">
      <c r="A660" s="3">
        <f t="shared" si="44"/>
        <v>658</v>
      </c>
      <c r="B660" s="3">
        <f t="shared" ca="1" si="45"/>
        <v>2</v>
      </c>
      <c r="C660" s="3">
        <f t="shared" ca="1" si="45"/>
        <v>4</v>
      </c>
      <c r="D660" s="2">
        <f t="shared" ca="1" si="42"/>
        <v>6</v>
      </c>
      <c r="E660" s="2">
        <f t="shared" ca="1" si="43"/>
        <v>0</v>
      </c>
    </row>
    <row r="661" spans="1:5" x14ac:dyDescent="0.3">
      <c r="A661" s="3">
        <f t="shared" si="44"/>
        <v>659</v>
      </c>
      <c r="B661" s="3">
        <f t="shared" ca="1" si="45"/>
        <v>6</v>
      </c>
      <c r="C661" s="3">
        <f t="shared" ca="1" si="45"/>
        <v>5</v>
      </c>
      <c r="D661" s="2">
        <f t="shared" ca="1" si="42"/>
        <v>11</v>
      </c>
      <c r="E661" s="2">
        <f t="shared" ca="1" si="43"/>
        <v>1</v>
      </c>
    </row>
    <row r="662" spans="1:5" x14ac:dyDescent="0.3">
      <c r="A662" s="3">
        <f t="shared" si="44"/>
        <v>660</v>
      </c>
      <c r="B662" s="3">
        <f t="shared" ca="1" si="45"/>
        <v>4</v>
      </c>
      <c r="C662" s="3">
        <f t="shared" ca="1" si="45"/>
        <v>3</v>
      </c>
      <c r="D662" s="2">
        <f t="shared" ca="1" si="42"/>
        <v>7</v>
      </c>
      <c r="E662" s="2">
        <f t="shared" ca="1" si="43"/>
        <v>0</v>
      </c>
    </row>
    <row r="663" spans="1:5" x14ac:dyDescent="0.3">
      <c r="A663" s="3">
        <f t="shared" si="44"/>
        <v>661</v>
      </c>
      <c r="B663" s="3">
        <f t="shared" ca="1" si="45"/>
        <v>4</v>
      </c>
      <c r="C663" s="3">
        <f t="shared" ca="1" si="45"/>
        <v>2</v>
      </c>
      <c r="D663" s="2">
        <f t="shared" ca="1" si="42"/>
        <v>6</v>
      </c>
      <c r="E663" s="2">
        <f t="shared" ca="1" si="43"/>
        <v>0</v>
      </c>
    </row>
    <row r="664" spans="1:5" x14ac:dyDescent="0.3">
      <c r="A664" s="3">
        <f t="shared" si="44"/>
        <v>662</v>
      </c>
      <c r="B664" s="3">
        <f t="shared" ca="1" si="45"/>
        <v>2</v>
      </c>
      <c r="C664" s="3">
        <f t="shared" ca="1" si="45"/>
        <v>4</v>
      </c>
      <c r="D664" s="2">
        <f t="shared" ca="1" si="42"/>
        <v>6</v>
      </c>
      <c r="E664" s="2">
        <f t="shared" ca="1" si="43"/>
        <v>0</v>
      </c>
    </row>
    <row r="665" spans="1:5" x14ac:dyDescent="0.3">
      <c r="A665" s="3">
        <f t="shared" si="44"/>
        <v>663</v>
      </c>
      <c r="B665" s="3">
        <f t="shared" ca="1" si="45"/>
        <v>1</v>
      </c>
      <c r="C665" s="3">
        <f t="shared" ca="1" si="45"/>
        <v>4</v>
      </c>
      <c r="D665" s="2">
        <f t="shared" ca="1" si="42"/>
        <v>5</v>
      </c>
      <c r="E665" s="2">
        <f t="shared" ca="1" si="43"/>
        <v>0</v>
      </c>
    </row>
    <row r="666" spans="1:5" x14ac:dyDescent="0.3">
      <c r="A666" s="3">
        <f t="shared" si="44"/>
        <v>664</v>
      </c>
      <c r="B666" s="3">
        <f t="shared" ca="1" si="45"/>
        <v>2</v>
      </c>
      <c r="C666" s="3">
        <f t="shared" ca="1" si="45"/>
        <v>2</v>
      </c>
      <c r="D666" s="2">
        <f t="shared" ca="1" si="42"/>
        <v>4</v>
      </c>
      <c r="E666" s="2">
        <f t="shared" ca="1" si="43"/>
        <v>0</v>
      </c>
    </row>
    <row r="667" spans="1:5" x14ac:dyDescent="0.3">
      <c r="A667" s="3">
        <f t="shared" si="44"/>
        <v>665</v>
      </c>
      <c r="B667" s="3">
        <f t="shared" ca="1" si="45"/>
        <v>2</v>
      </c>
      <c r="C667" s="3">
        <f t="shared" ca="1" si="45"/>
        <v>6</v>
      </c>
      <c r="D667" s="2">
        <f t="shared" ca="1" si="42"/>
        <v>8</v>
      </c>
      <c r="E667" s="2">
        <f t="shared" ca="1" si="43"/>
        <v>1</v>
      </c>
    </row>
    <row r="668" spans="1:5" x14ac:dyDescent="0.3">
      <c r="A668" s="3">
        <f t="shared" si="44"/>
        <v>666</v>
      </c>
      <c r="B668" s="3">
        <f t="shared" ca="1" si="45"/>
        <v>1</v>
      </c>
      <c r="C668" s="3">
        <f t="shared" ca="1" si="45"/>
        <v>3</v>
      </c>
      <c r="D668" s="2">
        <f t="shared" ca="1" si="42"/>
        <v>4</v>
      </c>
      <c r="E668" s="2">
        <f t="shared" ca="1" si="43"/>
        <v>0</v>
      </c>
    </row>
    <row r="669" spans="1:5" x14ac:dyDescent="0.3">
      <c r="A669" s="3">
        <f t="shared" si="44"/>
        <v>667</v>
      </c>
      <c r="B669" s="3">
        <f t="shared" ca="1" si="45"/>
        <v>4</v>
      </c>
      <c r="C669" s="3">
        <f t="shared" ca="1" si="45"/>
        <v>5</v>
      </c>
      <c r="D669" s="2">
        <f t="shared" ca="1" si="42"/>
        <v>9</v>
      </c>
      <c r="E669" s="2">
        <f t="shared" ca="1" si="43"/>
        <v>1</v>
      </c>
    </row>
    <row r="670" spans="1:5" x14ac:dyDescent="0.3">
      <c r="A670" s="3">
        <f t="shared" si="44"/>
        <v>668</v>
      </c>
      <c r="B670" s="3">
        <f t="shared" ca="1" si="45"/>
        <v>4</v>
      </c>
      <c r="C670" s="3">
        <f t="shared" ca="1" si="45"/>
        <v>2</v>
      </c>
      <c r="D670" s="2">
        <f t="shared" ca="1" si="42"/>
        <v>6</v>
      </c>
      <c r="E670" s="2">
        <f t="shared" ca="1" si="43"/>
        <v>0</v>
      </c>
    </row>
    <row r="671" spans="1:5" x14ac:dyDescent="0.3">
      <c r="A671" s="3">
        <f t="shared" si="44"/>
        <v>669</v>
      </c>
      <c r="B671" s="3">
        <f t="shared" ca="1" si="45"/>
        <v>4</v>
      </c>
      <c r="C671" s="3">
        <f t="shared" ca="1" si="45"/>
        <v>4</v>
      </c>
      <c r="D671" s="2">
        <f t="shared" ca="1" si="42"/>
        <v>8</v>
      </c>
      <c r="E671" s="2">
        <f t="shared" ca="1" si="43"/>
        <v>1</v>
      </c>
    </row>
    <row r="672" spans="1:5" x14ac:dyDescent="0.3">
      <c r="A672" s="3">
        <f t="shared" si="44"/>
        <v>670</v>
      </c>
      <c r="B672" s="3">
        <f t="shared" ca="1" si="45"/>
        <v>3</v>
      </c>
      <c r="C672" s="3">
        <f t="shared" ca="1" si="45"/>
        <v>1</v>
      </c>
      <c r="D672" s="2">
        <f t="shared" ca="1" si="42"/>
        <v>4</v>
      </c>
      <c r="E672" s="2">
        <f t="shared" ca="1" si="43"/>
        <v>0</v>
      </c>
    </row>
    <row r="673" spans="1:5" x14ac:dyDescent="0.3">
      <c r="A673" s="3">
        <f t="shared" si="44"/>
        <v>671</v>
      </c>
      <c r="B673" s="3">
        <f t="shared" ca="1" si="45"/>
        <v>5</v>
      </c>
      <c r="C673" s="3">
        <f t="shared" ca="1" si="45"/>
        <v>6</v>
      </c>
      <c r="D673" s="2">
        <f t="shared" ca="1" si="42"/>
        <v>11</v>
      </c>
      <c r="E673" s="2">
        <f t="shared" ca="1" si="43"/>
        <v>1</v>
      </c>
    </row>
    <row r="674" spans="1:5" x14ac:dyDescent="0.3">
      <c r="A674" s="3">
        <f t="shared" si="44"/>
        <v>672</v>
      </c>
      <c r="B674" s="3">
        <f t="shared" ca="1" si="45"/>
        <v>5</v>
      </c>
      <c r="C674" s="3">
        <f t="shared" ca="1" si="45"/>
        <v>3</v>
      </c>
      <c r="D674" s="2">
        <f t="shared" ca="1" si="42"/>
        <v>8</v>
      </c>
      <c r="E674" s="2">
        <f t="shared" ca="1" si="43"/>
        <v>1</v>
      </c>
    </row>
    <row r="675" spans="1:5" x14ac:dyDescent="0.3">
      <c r="A675" s="3">
        <f t="shared" si="44"/>
        <v>673</v>
      </c>
      <c r="B675" s="3">
        <f t="shared" ca="1" si="45"/>
        <v>2</v>
      </c>
      <c r="C675" s="3">
        <f t="shared" ca="1" si="45"/>
        <v>5</v>
      </c>
      <c r="D675" s="2">
        <f t="shared" ca="1" si="42"/>
        <v>7</v>
      </c>
      <c r="E675" s="2">
        <f t="shared" ca="1" si="43"/>
        <v>0</v>
      </c>
    </row>
    <row r="676" spans="1:5" x14ac:dyDescent="0.3">
      <c r="A676" s="3">
        <f t="shared" si="44"/>
        <v>674</v>
      </c>
      <c r="B676" s="3">
        <f t="shared" ca="1" si="45"/>
        <v>2</v>
      </c>
      <c r="C676" s="3">
        <f t="shared" ca="1" si="45"/>
        <v>2</v>
      </c>
      <c r="D676" s="2">
        <f t="shared" ca="1" si="42"/>
        <v>4</v>
      </c>
      <c r="E676" s="2">
        <f t="shared" ca="1" si="43"/>
        <v>0</v>
      </c>
    </row>
    <row r="677" spans="1:5" x14ac:dyDescent="0.3">
      <c r="A677" s="3">
        <f t="shared" si="44"/>
        <v>675</v>
      </c>
      <c r="B677" s="3">
        <f t="shared" ca="1" si="45"/>
        <v>3</v>
      </c>
      <c r="C677" s="3">
        <f t="shared" ca="1" si="45"/>
        <v>1</v>
      </c>
      <c r="D677" s="2">
        <f t="shared" ca="1" si="42"/>
        <v>4</v>
      </c>
      <c r="E677" s="2">
        <f t="shared" ca="1" si="43"/>
        <v>0</v>
      </c>
    </row>
    <row r="678" spans="1:5" x14ac:dyDescent="0.3">
      <c r="A678" s="3">
        <f t="shared" si="44"/>
        <v>676</v>
      </c>
      <c r="B678" s="3">
        <f t="shared" ca="1" si="45"/>
        <v>3</v>
      </c>
      <c r="C678" s="3">
        <f t="shared" ca="1" si="45"/>
        <v>2</v>
      </c>
      <c r="D678" s="2">
        <f t="shared" ca="1" si="42"/>
        <v>5</v>
      </c>
      <c r="E678" s="2">
        <f t="shared" ca="1" si="43"/>
        <v>0</v>
      </c>
    </row>
    <row r="679" spans="1:5" x14ac:dyDescent="0.3">
      <c r="A679" s="3">
        <f t="shared" si="44"/>
        <v>677</v>
      </c>
      <c r="B679" s="3">
        <f t="shared" ca="1" si="45"/>
        <v>3</v>
      </c>
      <c r="C679" s="3">
        <f t="shared" ca="1" si="45"/>
        <v>5</v>
      </c>
      <c r="D679" s="2">
        <f t="shared" ca="1" si="42"/>
        <v>8</v>
      </c>
      <c r="E679" s="2">
        <f t="shared" ca="1" si="43"/>
        <v>1</v>
      </c>
    </row>
    <row r="680" spans="1:5" x14ac:dyDescent="0.3">
      <c r="A680" s="3">
        <f t="shared" si="44"/>
        <v>678</v>
      </c>
      <c r="B680" s="3">
        <f t="shared" ca="1" si="45"/>
        <v>6</v>
      </c>
      <c r="C680" s="3">
        <f t="shared" ca="1" si="45"/>
        <v>1</v>
      </c>
      <c r="D680" s="2">
        <f t="shared" ca="1" si="42"/>
        <v>7</v>
      </c>
      <c r="E680" s="2">
        <f t="shared" ca="1" si="43"/>
        <v>0</v>
      </c>
    </row>
    <row r="681" spans="1:5" x14ac:dyDescent="0.3">
      <c r="A681" s="3">
        <f t="shared" si="44"/>
        <v>679</v>
      </c>
      <c r="B681" s="3">
        <f t="shared" ca="1" si="45"/>
        <v>3</v>
      </c>
      <c r="C681" s="3">
        <f t="shared" ca="1" si="45"/>
        <v>4</v>
      </c>
      <c r="D681" s="2">
        <f t="shared" ca="1" si="42"/>
        <v>7</v>
      </c>
      <c r="E681" s="2">
        <f t="shared" ca="1" si="43"/>
        <v>0</v>
      </c>
    </row>
    <row r="682" spans="1:5" x14ac:dyDescent="0.3">
      <c r="A682" s="3">
        <f t="shared" si="44"/>
        <v>680</v>
      </c>
      <c r="B682" s="3">
        <f t="shared" ca="1" si="45"/>
        <v>1</v>
      </c>
      <c r="C682" s="3">
        <f t="shared" ca="1" si="45"/>
        <v>2</v>
      </c>
      <c r="D682" s="2">
        <f t="shared" ca="1" si="42"/>
        <v>3</v>
      </c>
      <c r="E682" s="2">
        <f t="shared" ca="1" si="43"/>
        <v>0</v>
      </c>
    </row>
    <row r="683" spans="1:5" x14ac:dyDescent="0.3">
      <c r="A683" s="3">
        <f t="shared" si="44"/>
        <v>681</v>
      </c>
      <c r="B683" s="3">
        <f t="shared" ca="1" si="45"/>
        <v>6</v>
      </c>
      <c r="C683" s="3">
        <f t="shared" ca="1" si="45"/>
        <v>1</v>
      </c>
      <c r="D683" s="2">
        <f t="shared" ca="1" si="42"/>
        <v>7</v>
      </c>
      <c r="E683" s="2">
        <f t="shared" ca="1" si="43"/>
        <v>0</v>
      </c>
    </row>
    <row r="684" spans="1:5" x14ac:dyDescent="0.3">
      <c r="A684" s="3">
        <f t="shared" si="44"/>
        <v>682</v>
      </c>
      <c r="B684" s="3">
        <f t="shared" ca="1" si="45"/>
        <v>1</v>
      </c>
      <c r="C684" s="3">
        <f t="shared" ca="1" si="45"/>
        <v>3</v>
      </c>
      <c r="D684" s="2">
        <f t="shared" ca="1" si="42"/>
        <v>4</v>
      </c>
      <c r="E684" s="2">
        <f t="shared" ca="1" si="43"/>
        <v>0</v>
      </c>
    </row>
    <row r="685" spans="1:5" x14ac:dyDescent="0.3">
      <c r="A685" s="3">
        <f t="shared" si="44"/>
        <v>683</v>
      </c>
      <c r="B685" s="3">
        <f t="shared" ca="1" si="45"/>
        <v>3</v>
      </c>
      <c r="C685" s="3">
        <f t="shared" ca="1" si="45"/>
        <v>1</v>
      </c>
      <c r="D685" s="2">
        <f t="shared" ca="1" si="42"/>
        <v>4</v>
      </c>
      <c r="E685" s="2">
        <f t="shared" ca="1" si="43"/>
        <v>0</v>
      </c>
    </row>
    <row r="686" spans="1:5" x14ac:dyDescent="0.3">
      <c r="A686" s="3">
        <f t="shared" si="44"/>
        <v>684</v>
      </c>
      <c r="B686" s="3">
        <f t="shared" ca="1" si="45"/>
        <v>2</v>
      </c>
      <c r="C686" s="3">
        <f t="shared" ca="1" si="45"/>
        <v>1</v>
      </c>
      <c r="D686" s="2">
        <f t="shared" ca="1" si="42"/>
        <v>3</v>
      </c>
      <c r="E686" s="2">
        <f t="shared" ca="1" si="43"/>
        <v>0</v>
      </c>
    </row>
    <row r="687" spans="1:5" x14ac:dyDescent="0.3">
      <c r="A687" s="3">
        <f t="shared" si="44"/>
        <v>685</v>
      </c>
      <c r="B687" s="3">
        <f t="shared" ca="1" si="45"/>
        <v>2</v>
      </c>
      <c r="C687" s="3">
        <f t="shared" ca="1" si="45"/>
        <v>1</v>
      </c>
      <c r="D687" s="2">
        <f t="shared" ca="1" si="42"/>
        <v>3</v>
      </c>
      <c r="E687" s="2">
        <f t="shared" ca="1" si="43"/>
        <v>0</v>
      </c>
    </row>
    <row r="688" spans="1:5" x14ac:dyDescent="0.3">
      <c r="A688" s="3">
        <f t="shared" si="44"/>
        <v>686</v>
      </c>
      <c r="B688" s="3">
        <f t="shared" ca="1" si="45"/>
        <v>5</v>
      </c>
      <c r="C688" s="3">
        <f t="shared" ca="1" si="45"/>
        <v>3</v>
      </c>
      <c r="D688" s="2">
        <f t="shared" ca="1" si="42"/>
        <v>8</v>
      </c>
      <c r="E688" s="2">
        <f t="shared" ca="1" si="43"/>
        <v>1</v>
      </c>
    </row>
    <row r="689" spans="1:5" x14ac:dyDescent="0.3">
      <c r="A689" s="3">
        <f t="shared" si="44"/>
        <v>687</v>
      </c>
      <c r="B689" s="3">
        <f t="shared" ca="1" si="45"/>
        <v>4</v>
      </c>
      <c r="C689" s="3">
        <f t="shared" ca="1" si="45"/>
        <v>5</v>
      </c>
      <c r="D689" s="2">
        <f t="shared" ca="1" si="42"/>
        <v>9</v>
      </c>
      <c r="E689" s="2">
        <f t="shared" ca="1" si="43"/>
        <v>1</v>
      </c>
    </row>
    <row r="690" spans="1:5" x14ac:dyDescent="0.3">
      <c r="A690" s="3">
        <f t="shared" si="44"/>
        <v>688</v>
      </c>
      <c r="B690" s="3">
        <f t="shared" ca="1" si="45"/>
        <v>5</v>
      </c>
      <c r="C690" s="3">
        <f t="shared" ca="1" si="45"/>
        <v>1</v>
      </c>
      <c r="D690" s="2">
        <f t="shared" ca="1" si="42"/>
        <v>6</v>
      </c>
      <c r="E690" s="2">
        <f t="shared" ca="1" si="43"/>
        <v>0</v>
      </c>
    </row>
    <row r="691" spans="1:5" x14ac:dyDescent="0.3">
      <c r="A691" s="3">
        <f t="shared" si="44"/>
        <v>689</v>
      </c>
      <c r="B691" s="3">
        <f t="shared" ca="1" si="45"/>
        <v>2</v>
      </c>
      <c r="C691" s="3">
        <f t="shared" ca="1" si="45"/>
        <v>1</v>
      </c>
      <c r="D691" s="2">
        <f t="shared" ca="1" si="42"/>
        <v>3</v>
      </c>
      <c r="E691" s="2">
        <f t="shared" ca="1" si="43"/>
        <v>0</v>
      </c>
    </row>
    <row r="692" spans="1:5" x14ac:dyDescent="0.3">
      <c r="A692" s="3">
        <f t="shared" si="44"/>
        <v>690</v>
      </c>
      <c r="B692" s="3">
        <f t="shared" ca="1" si="45"/>
        <v>4</v>
      </c>
      <c r="C692" s="3">
        <f t="shared" ca="1" si="45"/>
        <v>3</v>
      </c>
      <c r="D692" s="2">
        <f t="shared" ca="1" si="42"/>
        <v>7</v>
      </c>
      <c r="E692" s="2">
        <f t="shared" ca="1" si="43"/>
        <v>0</v>
      </c>
    </row>
    <row r="693" spans="1:5" x14ac:dyDescent="0.3">
      <c r="A693" s="3">
        <f t="shared" si="44"/>
        <v>691</v>
      </c>
      <c r="B693" s="3">
        <f t="shared" ca="1" si="45"/>
        <v>6</v>
      </c>
      <c r="C693" s="3">
        <f t="shared" ca="1" si="45"/>
        <v>4</v>
      </c>
      <c r="D693" s="2">
        <f t="shared" ca="1" si="42"/>
        <v>10</v>
      </c>
      <c r="E693" s="2">
        <f t="shared" ca="1" si="43"/>
        <v>1</v>
      </c>
    </row>
    <row r="694" spans="1:5" x14ac:dyDescent="0.3">
      <c r="A694" s="3">
        <f t="shared" si="44"/>
        <v>692</v>
      </c>
      <c r="B694" s="3">
        <f t="shared" ca="1" si="45"/>
        <v>5</v>
      </c>
      <c r="C694" s="3">
        <f t="shared" ca="1" si="45"/>
        <v>6</v>
      </c>
      <c r="D694" s="2">
        <f t="shared" ca="1" si="42"/>
        <v>11</v>
      </c>
      <c r="E694" s="2">
        <f t="shared" ca="1" si="43"/>
        <v>1</v>
      </c>
    </row>
    <row r="695" spans="1:5" x14ac:dyDescent="0.3">
      <c r="A695" s="3">
        <f t="shared" si="44"/>
        <v>693</v>
      </c>
      <c r="B695" s="3">
        <f t="shared" ca="1" si="45"/>
        <v>3</v>
      </c>
      <c r="C695" s="3">
        <f t="shared" ca="1" si="45"/>
        <v>1</v>
      </c>
      <c r="D695" s="2">
        <f t="shared" ca="1" si="42"/>
        <v>4</v>
      </c>
      <c r="E695" s="2">
        <f t="shared" ca="1" si="43"/>
        <v>0</v>
      </c>
    </row>
    <row r="696" spans="1:5" x14ac:dyDescent="0.3">
      <c r="A696" s="3">
        <f t="shared" si="44"/>
        <v>694</v>
      </c>
      <c r="B696" s="3">
        <f t="shared" ca="1" si="45"/>
        <v>3</v>
      </c>
      <c r="C696" s="3">
        <f t="shared" ca="1" si="45"/>
        <v>6</v>
      </c>
      <c r="D696" s="2">
        <f t="shared" ca="1" si="42"/>
        <v>9</v>
      </c>
      <c r="E696" s="2">
        <f t="shared" ca="1" si="43"/>
        <v>1</v>
      </c>
    </row>
    <row r="697" spans="1:5" x14ac:dyDescent="0.3">
      <c r="A697" s="3">
        <f t="shared" si="44"/>
        <v>695</v>
      </c>
      <c r="B697" s="3">
        <f t="shared" ca="1" si="45"/>
        <v>4</v>
      </c>
      <c r="C697" s="3">
        <f t="shared" ca="1" si="45"/>
        <v>5</v>
      </c>
      <c r="D697" s="2">
        <f t="shared" ca="1" si="42"/>
        <v>9</v>
      </c>
      <c r="E697" s="2">
        <f t="shared" ca="1" si="43"/>
        <v>1</v>
      </c>
    </row>
    <row r="698" spans="1:5" x14ac:dyDescent="0.3">
      <c r="A698" s="3">
        <f t="shared" si="44"/>
        <v>696</v>
      </c>
      <c r="B698" s="3">
        <f t="shared" ca="1" si="45"/>
        <v>1</v>
      </c>
      <c r="C698" s="3">
        <f t="shared" ca="1" si="45"/>
        <v>1</v>
      </c>
      <c r="D698" s="2">
        <f t="shared" ca="1" si="42"/>
        <v>2</v>
      </c>
      <c r="E698" s="2">
        <f t="shared" ca="1" si="43"/>
        <v>0</v>
      </c>
    </row>
    <row r="699" spans="1:5" x14ac:dyDescent="0.3">
      <c r="A699" s="3">
        <f t="shared" si="44"/>
        <v>697</v>
      </c>
      <c r="B699" s="3">
        <f t="shared" ca="1" si="45"/>
        <v>3</v>
      </c>
      <c r="C699" s="3">
        <f t="shared" ca="1" si="45"/>
        <v>1</v>
      </c>
      <c r="D699" s="2">
        <f t="shared" ca="1" si="42"/>
        <v>4</v>
      </c>
      <c r="E699" s="2">
        <f t="shared" ca="1" si="43"/>
        <v>0</v>
      </c>
    </row>
    <row r="700" spans="1:5" x14ac:dyDescent="0.3">
      <c r="A700" s="3">
        <f t="shared" si="44"/>
        <v>698</v>
      </c>
      <c r="B700" s="3">
        <f t="shared" ca="1" si="45"/>
        <v>2</v>
      </c>
      <c r="C700" s="3">
        <f t="shared" ca="1" si="45"/>
        <v>1</v>
      </c>
      <c r="D700" s="2">
        <f t="shared" ca="1" si="42"/>
        <v>3</v>
      </c>
      <c r="E700" s="2">
        <f t="shared" ca="1" si="43"/>
        <v>0</v>
      </c>
    </row>
    <row r="701" spans="1:5" x14ac:dyDescent="0.3">
      <c r="A701" s="3">
        <f t="shared" si="44"/>
        <v>699</v>
      </c>
      <c r="B701" s="3">
        <f t="shared" ca="1" si="45"/>
        <v>3</v>
      </c>
      <c r="C701" s="3">
        <f t="shared" ca="1" si="45"/>
        <v>3</v>
      </c>
      <c r="D701" s="2">
        <f t="shared" ca="1" si="42"/>
        <v>6</v>
      </c>
      <c r="E701" s="2">
        <f t="shared" ca="1" si="43"/>
        <v>0</v>
      </c>
    </row>
    <row r="702" spans="1:5" x14ac:dyDescent="0.3">
      <c r="A702" s="3">
        <f t="shared" si="44"/>
        <v>700</v>
      </c>
      <c r="B702" s="3">
        <f t="shared" ca="1" si="45"/>
        <v>2</v>
      </c>
      <c r="C702" s="3">
        <f t="shared" ca="1" si="45"/>
        <v>5</v>
      </c>
      <c r="D702" s="2">
        <f t="shared" ca="1" si="42"/>
        <v>7</v>
      </c>
      <c r="E702" s="2">
        <f t="shared" ca="1" si="43"/>
        <v>0</v>
      </c>
    </row>
    <row r="703" spans="1:5" x14ac:dyDescent="0.3">
      <c r="A703" s="3">
        <f t="shared" si="44"/>
        <v>701</v>
      </c>
      <c r="B703" s="3">
        <f t="shared" ca="1" si="45"/>
        <v>2</v>
      </c>
      <c r="C703" s="3">
        <f t="shared" ca="1" si="45"/>
        <v>5</v>
      </c>
      <c r="D703" s="2">
        <f t="shared" ca="1" si="42"/>
        <v>7</v>
      </c>
      <c r="E703" s="2">
        <f t="shared" ca="1" si="43"/>
        <v>0</v>
      </c>
    </row>
    <row r="704" spans="1:5" x14ac:dyDescent="0.3">
      <c r="A704" s="3">
        <f t="shared" si="44"/>
        <v>702</v>
      </c>
      <c r="B704" s="3">
        <f t="shared" ca="1" si="45"/>
        <v>1</v>
      </c>
      <c r="C704" s="3">
        <f t="shared" ca="1" si="45"/>
        <v>5</v>
      </c>
      <c r="D704" s="2">
        <f t="shared" ca="1" si="42"/>
        <v>6</v>
      </c>
      <c r="E704" s="2">
        <f t="shared" ca="1" si="43"/>
        <v>0</v>
      </c>
    </row>
    <row r="705" spans="1:5" x14ac:dyDescent="0.3">
      <c r="A705" s="3">
        <f t="shared" si="44"/>
        <v>703</v>
      </c>
      <c r="B705" s="3">
        <f t="shared" ca="1" si="45"/>
        <v>5</v>
      </c>
      <c r="C705" s="3">
        <f t="shared" ca="1" si="45"/>
        <v>6</v>
      </c>
      <c r="D705" s="2">
        <f t="shared" ca="1" si="42"/>
        <v>11</v>
      </c>
      <c r="E705" s="2">
        <f t="shared" ca="1" si="43"/>
        <v>1</v>
      </c>
    </row>
    <row r="706" spans="1:5" x14ac:dyDescent="0.3">
      <c r="A706" s="3">
        <f t="shared" si="44"/>
        <v>704</v>
      </c>
      <c r="B706" s="3">
        <f t="shared" ca="1" si="45"/>
        <v>4</v>
      </c>
      <c r="C706" s="3">
        <f t="shared" ca="1" si="45"/>
        <v>1</v>
      </c>
      <c r="D706" s="2">
        <f t="shared" ca="1" si="42"/>
        <v>5</v>
      </c>
      <c r="E706" s="2">
        <f t="shared" ca="1" si="43"/>
        <v>0</v>
      </c>
    </row>
    <row r="707" spans="1:5" x14ac:dyDescent="0.3">
      <c r="A707" s="3">
        <f t="shared" si="44"/>
        <v>705</v>
      </c>
      <c r="B707" s="3">
        <f t="shared" ca="1" si="45"/>
        <v>4</v>
      </c>
      <c r="C707" s="3">
        <f t="shared" ca="1" si="45"/>
        <v>4</v>
      </c>
      <c r="D707" s="2">
        <f t="shared" ca="1" si="42"/>
        <v>8</v>
      </c>
      <c r="E707" s="2">
        <f t="shared" ca="1" si="43"/>
        <v>1</v>
      </c>
    </row>
    <row r="708" spans="1:5" x14ac:dyDescent="0.3">
      <c r="A708" s="3">
        <f t="shared" si="44"/>
        <v>706</v>
      </c>
      <c r="B708" s="3">
        <f t="shared" ca="1" si="45"/>
        <v>5</v>
      </c>
      <c r="C708" s="3">
        <f t="shared" ca="1" si="45"/>
        <v>6</v>
      </c>
      <c r="D708" s="2">
        <f t="shared" ref="D708:D771" ca="1" si="46">C708+B708</f>
        <v>11</v>
      </c>
      <c r="E708" s="2">
        <f t="shared" ref="E708:E771" ca="1" si="47">IF(D708&gt;=8,1,0)</f>
        <v>1</v>
      </c>
    </row>
    <row r="709" spans="1:5" x14ac:dyDescent="0.3">
      <c r="A709" s="3">
        <f t="shared" ref="A709:A772" si="48">A708+1</f>
        <v>707</v>
      </c>
      <c r="B709" s="3">
        <f t="shared" ref="B709:C772" ca="1" si="49">RANDBETWEEN(1,6)</f>
        <v>3</v>
      </c>
      <c r="C709" s="3">
        <f t="shared" ca="1" si="49"/>
        <v>3</v>
      </c>
      <c r="D709" s="2">
        <f t="shared" ca="1" si="46"/>
        <v>6</v>
      </c>
      <c r="E709" s="2">
        <f t="shared" ca="1" si="47"/>
        <v>0</v>
      </c>
    </row>
    <row r="710" spans="1:5" x14ac:dyDescent="0.3">
      <c r="A710" s="3">
        <f t="shared" si="48"/>
        <v>708</v>
      </c>
      <c r="B710" s="3">
        <f t="shared" ca="1" si="49"/>
        <v>6</v>
      </c>
      <c r="C710" s="3">
        <f t="shared" ca="1" si="49"/>
        <v>5</v>
      </c>
      <c r="D710" s="2">
        <f t="shared" ca="1" si="46"/>
        <v>11</v>
      </c>
      <c r="E710" s="2">
        <f t="shared" ca="1" si="47"/>
        <v>1</v>
      </c>
    </row>
    <row r="711" spans="1:5" x14ac:dyDescent="0.3">
      <c r="A711" s="3">
        <f t="shared" si="48"/>
        <v>709</v>
      </c>
      <c r="B711" s="3">
        <f t="shared" ca="1" si="49"/>
        <v>3</v>
      </c>
      <c r="C711" s="3">
        <f t="shared" ca="1" si="49"/>
        <v>3</v>
      </c>
      <c r="D711" s="2">
        <f t="shared" ca="1" si="46"/>
        <v>6</v>
      </c>
      <c r="E711" s="2">
        <f t="shared" ca="1" si="47"/>
        <v>0</v>
      </c>
    </row>
    <row r="712" spans="1:5" x14ac:dyDescent="0.3">
      <c r="A712" s="3">
        <f t="shared" si="48"/>
        <v>710</v>
      </c>
      <c r="B712" s="3">
        <f t="shared" ca="1" si="49"/>
        <v>1</v>
      </c>
      <c r="C712" s="3">
        <f t="shared" ca="1" si="49"/>
        <v>4</v>
      </c>
      <c r="D712" s="2">
        <f t="shared" ca="1" si="46"/>
        <v>5</v>
      </c>
      <c r="E712" s="2">
        <f t="shared" ca="1" si="47"/>
        <v>0</v>
      </c>
    </row>
    <row r="713" spans="1:5" x14ac:dyDescent="0.3">
      <c r="A713" s="3">
        <f t="shared" si="48"/>
        <v>711</v>
      </c>
      <c r="B713" s="3">
        <f t="shared" ca="1" si="49"/>
        <v>1</v>
      </c>
      <c r="C713" s="3">
        <f t="shared" ca="1" si="49"/>
        <v>4</v>
      </c>
      <c r="D713" s="2">
        <f t="shared" ca="1" si="46"/>
        <v>5</v>
      </c>
      <c r="E713" s="2">
        <f t="shared" ca="1" si="47"/>
        <v>0</v>
      </c>
    </row>
    <row r="714" spans="1:5" x14ac:dyDescent="0.3">
      <c r="A714" s="3">
        <f t="shared" si="48"/>
        <v>712</v>
      </c>
      <c r="B714" s="3">
        <f t="shared" ca="1" si="49"/>
        <v>6</v>
      </c>
      <c r="C714" s="3">
        <f t="shared" ca="1" si="49"/>
        <v>5</v>
      </c>
      <c r="D714" s="2">
        <f t="shared" ca="1" si="46"/>
        <v>11</v>
      </c>
      <c r="E714" s="2">
        <f t="shared" ca="1" si="47"/>
        <v>1</v>
      </c>
    </row>
    <row r="715" spans="1:5" x14ac:dyDescent="0.3">
      <c r="A715" s="3">
        <f t="shared" si="48"/>
        <v>713</v>
      </c>
      <c r="B715" s="3">
        <f t="shared" ca="1" si="49"/>
        <v>4</v>
      </c>
      <c r="C715" s="3">
        <f t="shared" ca="1" si="49"/>
        <v>4</v>
      </c>
      <c r="D715" s="2">
        <f t="shared" ca="1" si="46"/>
        <v>8</v>
      </c>
      <c r="E715" s="2">
        <f t="shared" ca="1" si="47"/>
        <v>1</v>
      </c>
    </row>
    <row r="716" spans="1:5" x14ac:dyDescent="0.3">
      <c r="A716" s="3">
        <f t="shared" si="48"/>
        <v>714</v>
      </c>
      <c r="B716" s="3">
        <f t="shared" ca="1" si="49"/>
        <v>5</v>
      </c>
      <c r="C716" s="3">
        <f t="shared" ca="1" si="49"/>
        <v>3</v>
      </c>
      <c r="D716" s="2">
        <f t="shared" ca="1" si="46"/>
        <v>8</v>
      </c>
      <c r="E716" s="2">
        <f t="shared" ca="1" si="47"/>
        <v>1</v>
      </c>
    </row>
    <row r="717" spans="1:5" x14ac:dyDescent="0.3">
      <c r="A717" s="3">
        <f t="shared" si="48"/>
        <v>715</v>
      </c>
      <c r="B717" s="3">
        <f t="shared" ca="1" si="49"/>
        <v>1</v>
      </c>
      <c r="C717" s="3">
        <f t="shared" ca="1" si="49"/>
        <v>6</v>
      </c>
      <c r="D717" s="2">
        <f t="shared" ca="1" si="46"/>
        <v>7</v>
      </c>
      <c r="E717" s="2">
        <f t="shared" ca="1" si="47"/>
        <v>0</v>
      </c>
    </row>
    <row r="718" spans="1:5" x14ac:dyDescent="0.3">
      <c r="A718" s="3">
        <f t="shared" si="48"/>
        <v>716</v>
      </c>
      <c r="B718" s="3">
        <f t="shared" ca="1" si="49"/>
        <v>6</v>
      </c>
      <c r="C718" s="3">
        <f t="shared" ca="1" si="49"/>
        <v>1</v>
      </c>
      <c r="D718" s="2">
        <f t="shared" ca="1" si="46"/>
        <v>7</v>
      </c>
      <c r="E718" s="2">
        <f t="shared" ca="1" si="47"/>
        <v>0</v>
      </c>
    </row>
    <row r="719" spans="1:5" x14ac:dyDescent="0.3">
      <c r="A719" s="3">
        <f t="shared" si="48"/>
        <v>717</v>
      </c>
      <c r="B719" s="3">
        <f t="shared" ca="1" si="49"/>
        <v>6</v>
      </c>
      <c r="C719" s="3">
        <f t="shared" ca="1" si="49"/>
        <v>2</v>
      </c>
      <c r="D719" s="2">
        <f t="shared" ca="1" si="46"/>
        <v>8</v>
      </c>
      <c r="E719" s="2">
        <f t="shared" ca="1" si="47"/>
        <v>1</v>
      </c>
    </row>
    <row r="720" spans="1:5" x14ac:dyDescent="0.3">
      <c r="A720" s="3">
        <f t="shared" si="48"/>
        <v>718</v>
      </c>
      <c r="B720" s="3">
        <f t="shared" ca="1" si="49"/>
        <v>6</v>
      </c>
      <c r="C720" s="3">
        <f t="shared" ca="1" si="49"/>
        <v>1</v>
      </c>
      <c r="D720" s="2">
        <f t="shared" ca="1" si="46"/>
        <v>7</v>
      </c>
      <c r="E720" s="2">
        <f t="shared" ca="1" si="47"/>
        <v>0</v>
      </c>
    </row>
    <row r="721" spans="1:5" x14ac:dyDescent="0.3">
      <c r="A721" s="3">
        <f t="shared" si="48"/>
        <v>719</v>
      </c>
      <c r="B721" s="3">
        <f t="shared" ca="1" si="49"/>
        <v>6</v>
      </c>
      <c r="C721" s="3">
        <f t="shared" ca="1" si="49"/>
        <v>5</v>
      </c>
      <c r="D721" s="2">
        <f t="shared" ca="1" si="46"/>
        <v>11</v>
      </c>
      <c r="E721" s="2">
        <f t="shared" ca="1" si="47"/>
        <v>1</v>
      </c>
    </row>
    <row r="722" spans="1:5" x14ac:dyDescent="0.3">
      <c r="A722" s="3">
        <f t="shared" si="48"/>
        <v>720</v>
      </c>
      <c r="B722" s="3">
        <f t="shared" ca="1" si="49"/>
        <v>1</v>
      </c>
      <c r="C722" s="3">
        <f t="shared" ca="1" si="49"/>
        <v>2</v>
      </c>
      <c r="D722" s="2">
        <f t="shared" ca="1" si="46"/>
        <v>3</v>
      </c>
      <c r="E722" s="2">
        <f t="shared" ca="1" si="47"/>
        <v>0</v>
      </c>
    </row>
    <row r="723" spans="1:5" x14ac:dyDescent="0.3">
      <c r="A723" s="3">
        <f t="shared" si="48"/>
        <v>721</v>
      </c>
      <c r="B723" s="3">
        <f t="shared" ca="1" si="49"/>
        <v>3</v>
      </c>
      <c r="C723" s="3">
        <f t="shared" ca="1" si="49"/>
        <v>5</v>
      </c>
      <c r="D723" s="2">
        <f t="shared" ca="1" si="46"/>
        <v>8</v>
      </c>
      <c r="E723" s="2">
        <f t="shared" ca="1" si="47"/>
        <v>1</v>
      </c>
    </row>
    <row r="724" spans="1:5" x14ac:dyDescent="0.3">
      <c r="A724" s="3">
        <f t="shared" si="48"/>
        <v>722</v>
      </c>
      <c r="B724" s="3">
        <f t="shared" ca="1" si="49"/>
        <v>3</v>
      </c>
      <c r="C724" s="3">
        <f t="shared" ca="1" si="49"/>
        <v>4</v>
      </c>
      <c r="D724" s="2">
        <f t="shared" ca="1" si="46"/>
        <v>7</v>
      </c>
      <c r="E724" s="2">
        <f t="shared" ca="1" si="47"/>
        <v>0</v>
      </c>
    </row>
    <row r="725" spans="1:5" x14ac:dyDescent="0.3">
      <c r="A725" s="3">
        <f t="shared" si="48"/>
        <v>723</v>
      </c>
      <c r="B725" s="3">
        <f t="shared" ca="1" si="49"/>
        <v>5</v>
      </c>
      <c r="C725" s="3">
        <f t="shared" ca="1" si="49"/>
        <v>6</v>
      </c>
      <c r="D725" s="2">
        <f t="shared" ca="1" si="46"/>
        <v>11</v>
      </c>
      <c r="E725" s="2">
        <f t="shared" ca="1" si="47"/>
        <v>1</v>
      </c>
    </row>
    <row r="726" spans="1:5" x14ac:dyDescent="0.3">
      <c r="A726" s="3">
        <f t="shared" si="48"/>
        <v>724</v>
      </c>
      <c r="B726" s="3">
        <f t="shared" ca="1" si="49"/>
        <v>4</v>
      </c>
      <c r="C726" s="3">
        <f t="shared" ca="1" si="49"/>
        <v>6</v>
      </c>
      <c r="D726" s="2">
        <f t="shared" ca="1" si="46"/>
        <v>10</v>
      </c>
      <c r="E726" s="2">
        <f t="shared" ca="1" si="47"/>
        <v>1</v>
      </c>
    </row>
    <row r="727" spans="1:5" x14ac:dyDescent="0.3">
      <c r="A727" s="3">
        <f t="shared" si="48"/>
        <v>725</v>
      </c>
      <c r="B727" s="3">
        <f t="shared" ca="1" si="49"/>
        <v>2</v>
      </c>
      <c r="C727" s="3">
        <f t="shared" ca="1" si="49"/>
        <v>4</v>
      </c>
      <c r="D727" s="2">
        <f t="shared" ca="1" si="46"/>
        <v>6</v>
      </c>
      <c r="E727" s="2">
        <f t="shared" ca="1" si="47"/>
        <v>0</v>
      </c>
    </row>
    <row r="728" spans="1:5" x14ac:dyDescent="0.3">
      <c r="A728" s="3">
        <f t="shared" si="48"/>
        <v>726</v>
      </c>
      <c r="B728" s="3">
        <f t="shared" ca="1" si="49"/>
        <v>6</v>
      </c>
      <c r="C728" s="3">
        <f t="shared" ca="1" si="49"/>
        <v>2</v>
      </c>
      <c r="D728" s="2">
        <f t="shared" ca="1" si="46"/>
        <v>8</v>
      </c>
      <c r="E728" s="2">
        <f t="shared" ca="1" si="47"/>
        <v>1</v>
      </c>
    </row>
    <row r="729" spans="1:5" x14ac:dyDescent="0.3">
      <c r="A729" s="3">
        <f t="shared" si="48"/>
        <v>727</v>
      </c>
      <c r="B729" s="3">
        <f t="shared" ca="1" si="49"/>
        <v>4</v>
      </c>
      <c r="C729" s="3">
        <f t="shared" ca="1" si="49"/>
        <v>4</v>
      </c>
      <c r="D729" s="2">
        <f t="shared" ca="1" si="46"/>
        <v>8</v>
      </c>
      <c r="E729" s="2">
        <f t="shared" ca="1" si="47"/>
        <v>1</v>
      </c>
    </row>
    <row r="730" spans="1:5" x14ac:dyDescent="0.3">
      <c r="A730" s="3">
        <f t="shared" si="48"/>
        <v>728</v>
      </c>
      <c r="B730" s="3">
        <f t="shared" ca="1" si="49"/>
        <v>3</v>
      </c>
      <c r="C730" s="3">
        <f t="shared" ca="1" si="49"/>
        <v>5</v>
      </c>
      <c r="D730" s="2">
        <f t="shared" ca="1" si="46"/>
        <v>8</v>
      </c>
      <c r="E730" s="2">
        <f t="shared" ca="1" si="47"/>
        <v>1</v>
      </c>
    </row>
    <row r="731" spans="1:5" x14ac:dyDescent="0.3">
      <c r="A731" s="3">
        <f t="shared" si="48"/>
        <v>729</v>
      </c>
      <c r="B731" s="3">
        <f t="shared" ca="1" si="49"/>
        <v>3</v>
      </c>
      <c r="C731" s="3">
        <f t="shared" ca="1" si="49"/>
        <v>4</v>
      </c>
      <c r="D731" s="2">
        <f t="shared" ca="1" si="46"/>
        <v>7</v>
      </c>
      <c r="E731" s="2">
        <f t="shared" ca="1" si="47"/>
        <v>0</v>
      </c>
    </row>
    <row r="732" spans="1:5" x14ac:dyDescent="0.3">
      <c r="A732" s="3">
        <f t="shared" si="48"/>
        <v>730</v>
      </c>
      <c r="B732" s="3">
        <f t="shared" ca="1" si="49"/>
        <v>5</v>
      </c>
      <c r="C732" s="3">
        <f t="shared" ca="1" si="49"/>
        <v>6</v>
      </c>
      <c r="D732" s="2">
        <f t="shared" ca="1" si="46"/>
        <v>11</v>
      </c>
      <c r="E732" s="2">
        <f t="shared" ca="1" si="47"/>
        <v>1</v>
      </c>
    </row>
    <row r="733" spans="1:5" x14ac:dyDescent="0.3">
      <c r="A733" s="3">
        <f t="shared" si="48"/>
        <v>731</v>
      </c>
      <c r="B733" s="3">
        <f t="shared" ca="1" si="49"/>
        <v>3</v>
      </c>
      <c r="C733" s="3">
        <f t="shared" ca="1" si="49"/>
        <v>3</v>
      </c>
      <c r="D733" s="2">
        <f t="shared" ca="1" si="46"/>
        <v>6</v>
      </c>
      <c r="E733" s="2">
        <f t="shared" ca="1" si="47"/>
        <v>0</v>
      </c>
    </row>
    <row r="734" spans="1:5" x14ac:dyDescent="0.3">
      <c r="A734" s="3">
        <f t="shared" si="48"/>
        <v>732</v>
      </c>
      <c r="B734" s="3">
        <f t="shared" ca="1" si="49"/>
        <v>4</v>
      </c>
      <c r="C734" s="3">
        <f t="shared" ca="1" si="49"/>
        <v>1</v>
      </c>
      <c r="D734" s="2">
        <f t="shared" ca="1" si="46"/>
        <v>5</v>
      </c>
      <c r="E734" s="2">
        <f t="shared" ca="1" si="47"/>
        <v>0</v>
      </c>
    </row>
    <row r="735" spans="1:5" x14ac:dyDescent="0.3">
      <c r="A735" s="3">
        <f t="shared" si="48"/>
        <v>733</v>
      </c>
      <c r="B735" s="3">
        <f t="shared" ca="1" si="49"/>
        <v>6</v>
      </c>
      <c r="C735" s="3">
        <f t="shared" ca="1" si="49"/>
        <v>1</v>
      </c>
      <c r="D735" s="2">
        <f t="shared" ca="1" si="46"/>
        <v>7</v>
      </c>
      <c r="E735" s="2">
        <f t="shared" ca="1" si="47"/>
        <v>0</v>
      </c>
    </row>
    <row r="736" spans="1:5" x14ac:dyDescent="0.3">
      <c r="A736" s="3">
        <f t="shared" si="48"/>
        <v>734</v>
      </c>
      <c r="B736" s="3">
        <f t="shared" ca="1" si="49"/>
        <v>5</v>
      </c>
      <c r="C736" s="3">
        <f t="shared" ca="1" si="49"/>
        <v>5</v>
      </c>
      <c r="D736" s="2">
        <f t="shared" ca="1" si="46"/>
        <v>10</v>
      </c>
      <c r="E736" s="2">
        <f t="shared" ca="1" si="47"/>
        <v>1</v>
      </c>
    </row>
    <row r="737" spans="1:5" x14ac:dyDescent="0.3">
      <c r="A737" s="3">
        <f t="shared" si="48"/>
        <v>735</v>
      </c>
      <c r="B737" s="3">
        <f t="shared" ca="1" si="49"/>
        <v>6</v>
      </c>
      <c r="C737" s="3">
        <f t="shared" ca="1" si="49"/>
        <v>3</v>
      </c>
      <c r="D737" s="2">
        <f t="shared" ca="1" si="46"/>
        <v>9</v>
      </c>
      <c r="E737" s="2">
        <f t="shared" ca="1" si="47"/>
        <v>1</v>
      </c>
    </row>
    <row r="738" spans="1:5" x14ac:dyDescent="0.3">
      <c r="A738" s="3">
        <f t="shared" si="48"/>
        <v>736</v>
      </c>
      <c r="B738" s="3">
        <f t="shared" ca="1" si="49"/>
        <v>6</v>
      </c>
      <c r="C738" s="3">
        <f t="shared" ca="1" si="49"/>
        <v>6</v>
      </c>
      <c r="D738" s="2">
        <f t="shared" ca="1" si="46"/>
        <v>12</v>
      </c>
      <c r="E738" s="2">
        <f t="shared" ca="1" si="47"/>
        <v>1</v>
      </c>
    </row>
    <row r="739" spans="1:5" x14ac:dyDescent="0.3">
      <c r="A739" s="3">
        <f t="shared" si="48"/>
        <v>737</v>
      </c>
      <c r="B739" s="3">
        <f t="shared" ca="1" si="49"/>
        <v>2</v>
      </c>
      <c r="C739" s="3">
        <f t="shared" ca="1" si="49"/>
        <v>6</v>
      </c>
      <c r="D739" s="2">
        <f t="shared" ca="1" si="46"/>
        <v>8</v>
      </c>
      <c r="E739" s="2">
        <f t="shared" ca="1" si="47"/>
        <v>1</v>
      </c>
    </row>
    <row r="740" spans="1:5" x14ac:dyDescent="0.3">
      <c r="A740" s="3">
        <f t="shared" si="48"/>
        <v>738</v>
      </c>
      <c r="B740" s="3">
        <f t="shared" ca="1" si="49"/>
        <v>1</v>
      </c>
      <c r="C740" s="3">
        <f t="shared" ca="1" si="49"/>
        <v>5</v>
      </c>
      <c r="D740" s="2">
        <f t="shared" ca="1" si="46"/>
        <v>6</v>
      </c>
      <c r="E740" s="2">
        <f t="shared" ca="1" si="47"/>
        <v>0</v>
      </c>
    </row>
    <row r="741" spans="1:5" x14ac:dyDescent="0.3">
      <c r="A741" s="3">
        <f t="shared" si="48"/>
        <v>739</v>
      </c>
      <c r="B741" s="3">
        <f t="shared" ca="1" si="49"/>
        <v>6</v>
      </c>
      <c r="C741" s="3">
        <f t="shared" ca="1" si="49"/>
        <v>6</v>
      </c>
      <c r="D741" s="2">
        <f t="shared" ca="1" si="46"/>
        <v>12</v>
      </c>
      <c r="E741" s="2">
        <f t="shared" ca="1" si="47"/>
        <v>1</v>
      </c>
    </row>
    <row r="742" spans="1:5" x14ac:dyDescent="0.3">
      <c r="A742" s="3">
        <f t="shared" si="48"/>
        <v>740</v>
      </c>
      <c r="B742" s="3">
        <f t="shared" ca="1" si="49"/>
        <v>4</v>
      </c>
      <c r="C742" s="3">
        <f t="shared" ca="1" si="49"/>
        <v>6</v>
      </c>
      <c r="D742" s="2">
        <f t="shared" ca="1" si="46"/>
        <v>10</v>
      </c>
      <c r="E742" s="2">
        <f t="shared" ca="1" si="47"/>
        <v>1</v>
      </c>
    </row>
    <row r="743" spans="1:5" x14ac:dyDescent="0.3">
      <c r="A743" s="3">
        <f t="shared" si="48"/>
        <v>741</v>
      </c>
      <c r="B743" s="3">
        <f t="shared" ca="1" si="49"/>
        <v>6</v>
      </c>
      <c r="C743" s="3">
        <f t="shared" ca="1" si="49"/>
        <v>4</v>
      </c>
      <c r="D743" s="2">
        <f t="shared" ca="1" si="46"/>
        <v>10</v>
      </c>
      <c r="E743" s="2">
        <f t="shared" ca="1" si="47"/>
        <v>1</v>
      </c>
    </row>
    <row r="744" spans="1:5" x14ac:dyDescent="0.3">
      <c r="A744" s="3">
        <f t="shared" si="48"/>
        <v>742</v>
      </c>
      <c r="B744" s="3">
        <f t="shared" ca="1" si="49"/>
        <v>6</v>
      </c>
      <c r="C744" s="3">
        <f t="shared" ca="1" si="49"/>
        <v>5</v>
      </c>
      <c r="D744" s="2">
        <f t="shared" ca="1" si="46"/>
        <v>11</v>
      </c>
      <c r="E744" s="2">
        <f t="shared" ca="1" si="47"/>
        <v>1</v>
      </c>
    </row>
    <row r="745" spans="1:5" x14ac:dyDescent="0.3">
      <c r="A745" s="3">
        <f t="shared" si="48"/>
        <v>743</v>
      </c>
      <c r="B745" s="3">
        <f t="shared" ca="1" si="49"/>
        <v>4</v>
      </c>
      <c r="C745" s="3">
        <f t="shared" ca="1" si="49"/>
        <v>4</v>
      </c>
      <c r="D745" s="2">
        <f t="shared" ca="1" si="46"/>
        <v>8</v>
      </c>
      <c r="E745" s="2">
        <f t="shared" ca="1" si="47"/>
        <v>1</v>
      </c>
    </row>
    <row r="746" spans="1:5" x14ac:dyDescent="0.3">
      <c r="A746" s="3">
        <f t="shared" si="48"/>
        <v>744</v>
      </c>
      <c r="B746" s="3">
        <f t="shared" ca="1" si="49"/>
        <v>1</v>
      </c>
      <c r="C746" s="3">
        <f t="shared" ca="1" si="49"/>
        <v>5</v>
      </c>
      <c r="D746" s="2">
        <f t="shared" ca="1" si="46"/>
        <v>6</v>
      </c>
      <c r="E746" s="2">
        <f t="shared" ca="1" si="47"/>
        <v>0</v>
      </c>
    </row>
    <row r="747" spans="1:5" x14ac:dyDescent="0.3">
      <c r="A747" s="3">
        <f t="shared" si="48"/>
        <v>745</v>
      </c>
      <c r="B747" s="3">
        <f t="shared" ca="1" si="49"/>
        <v>5</v>
      </c>
      <c r="C747" s="3">
        <f t="shared" ca="1" si="49"/>
        <v>5</v>
      </c>
      <c r="D747" s="2">
        <f t="shared" ca="1" si="46"/>
        <v>10</v>
      </c>
      <c r="E747" s="2">
        <f t="shared" ca="1" si="47"/>
        <v>1</v>
      </c>
    </row>
    <row r="748" spans="1:5" x14ac:dyDescent="0.3">
      <c r="A748" s="3">
        <f t="shared" si="48"/>
        <v>746</v>
      </c>
      <c r="B748" s="3">
        <f t="shared" ca="1" si="49"/>
        <v>1</v>
      </c>
      <c r="C748" s="3">
        <f t="shared" ca="1" si="49"/>
        <v>6</v>
      </c>
      <c r="D748" s="2">
        <f t="shared" ca="1" si="46"/>
        <v>7</v>
      </c>
      <c r="E748" s="2">
        <f t="shared" ca="1" si="47"/>
        <v>0</v>
      </c>
    </row>
    <row r="749" spans="1:5" x14ac:dyDescent="0.3">
      <c r="A749" s="3">
        <f t="shared" si="48"/>
        <v>747</v>
      </c>
      <c r="B749" s="3">
        <f t="shared" ca="1" si="49"/>
        <v>1</v>
      </c>
      <c r="C749" s="3">
        <f t="shared" ca="1" si="49"/>
        <v>6</v>
      </c>
      <c r="D749" s="2">
        <f t="shared" ca="1" si="46"/>
        <v>7</v>
      </c>
      <c r="E749" s="2">
        <f t="shared" ca="1" si="47"/>
        <v>0</v>
      </c>
    </row>
    <row r="750" spans="1:5" x14ac:dyDescent="0.3">
      <c r="A750" s="3">
        <f t="shared" si="48"/>
        <v>748</v>
      </c>
      <c r="B750" s="3">
        <f t="shared" ca="1" si="49"/>
        <v>3</v>
      </c>
      <c r="C750" s="3">
        <f t="shared" ca="1" si="49"/>
        <v>6</v>
      </c>
      <c r="D750" s="2">
        <f t="shared" ca="1" si="46"/>
        <v>9</v>
      </c>
      <c r="E750" s="2">
        <f t="shared" ca="1" si="47"/>
        <v>1</v>
      </c>
    </row>
    <row r="751" spans="1:5" x14ac:dyDescent="0.3">
      <c r="A751" s="3">
        <f t="shared" si="48"/>
        <v>749</v>
      </c>
      <c r="B751" s="3">
        <f t="shared" ca="1" si="49"/>
        <v>4</v>
      </c>
      <c r="C751" s="3">
        <f t="shared" ca="1" si="49"/>
        <v>2</v>
      </c>
      <c r="D751" s="2">
        <f t="shared" ca="1" si="46"/>
        <v>6</v>
      </c>
      <c r="E751" s="2">
        <f t="shared" ca="1" si="47"/>
        <v>0</v>
      </c>
    </row>
    <row r="752" spans="1:5" x14ac:dyDescent="0.3">
      <c r="A752" s="3">
        <f t="shared" si="48"/>
        <v>750</v>
      </c>
      <c r="B752" s="3">
        <f t="shared" ca="1" si="49"/>
        <v>2</v>
      </c>
      <c r="C752" s="3">
        <f t="shared" ca="1" si="49"/>
        <v>2</v>
      </c>
      <c r="D752" s="2">
        <f t="shared" ca="1" si="46"/>
        <v>4</v>
      </c>
      <c r="E752" s="2">
        <f t="shared" ca="1" si="47"/>
        <v>0</v>
      </c>
    </row>
    <row r="753" spans="1:5" x14ac:dyDescent="0.3">
      <c r="A753" s="3">
        <f t="shared" si="48"/>
        <v>751</v>
      </c>
      <c r="B753" s="3">
        <f t="shared" ca="1" si="49"/>
        <v>1</v>
      </c>
      <c r="C753" s="3">
        <f t="shared" ca="1" si="49"/>
        <v>4</v>
      </c>
      <c r="D753" s="2">
        <f t="shared" ca="1" si="46"/>
        <v>5</v>
      </c>
      <c r="E753" s="2">
        <f t="shared" ca="1" si="47"/>
        <v>0</v>
      </c>
    </row>
    <row r="754" spans="1:5" x14ac:dyDescent="0.3">
      <c r="A754" s="3">
        <f t="shared" si="48"/>
        <v>752</v>
      </c>
      <c r="B754" s="3">
        <f t="shared" ca="1" si="49"/>
        <v>5</v>
      </c>
      <c r="C754" s="3">
        <f t="shared" ca="1" si="49"/>
        <v>4</v>
      </c>
      <c r="D754" s="2">
        <f t="shared" ca="1" si="46"/>
        <v>9</v>
      </c>
      <c r="E754" s="2">
        <f t="shared" ca="1" si="47"/>
        <v>1</v>
      </c>
    </row>
    <row r="755" spans="1:5" x14ac:dyDescent="0.3">
      <c r="A755" s="3">
        <f t="shared" si="48"/>
        <v>753</v>
      </c>
      <c r="B755" s="3">
        <f t="shared" ca="1" si="49"/>
        <v>2</v>
      </c>
      <c r="C755" s="3">
        <f t="shared" ca="1" si="49"/>
        <v>1</v>
      </c>
      <c r="D755" s="2">
        <f t="shared" ca="1" si="46"/>
        <v>3</v>
      </c>
      <c r="E755" s="2">
        <f t="shared" ca="1" si="47"/>
        <v>0</v>
      </c>
    </row>
    <row r="756" spans="1:5" x14ac:dyDescent="0.3">
      <c r="A756" s="3">
        <f t="shared" si="48"/>
        <v>754</v>
      </c>
      <c r="B756" s="3">
        <f t="shared" ca="1" si="49"/>
        <v>5</v>
      </c>
      <c r="C756" s="3">
        <f t="shared" ca="1" si="49"/>
        <v>1</v>
      </c>
      <c r="D756" s="2">
        <f t="shared" ca="1" si="46"/>
        <v>6</v>
      </c>
      <c r="E756" s="2">
        <f t="shared" ca="1" si="47"/>
        <v>0</v>
      </c>
    </row>
    <row r="757" spans="1:5" x14ac:dyDescent="0.3">
      <c r="A757" s="3">
        <f t="shared" si="48"/>
        <v>755</v>
      </c>
      <c r="B757" s="3">
        <f t="shared" ca="1" si="49"/>
        <v>1</v>
      </c>
      <c r="C757" s="3">
        <f t="shared" ca="1" si="49"/>
        <v>3</v>
      </c>
      <c r="D757" s="2">
        <f t="shared" ca="1" si="46"/>
        <v>4</v>
      </c>
      <c r="E757" s="2">
        <f t="shared" ca="1" si="47"/>
        <v>0</v>
      </c>
    </row>
    <row r="758" spans="1:5" x14ac:dyDescent="0.3">
      <c r="A758" s="3">
        <f t="shared" si="48"/>
        <v>756</v>
      </c>
      <c r="B758" s="3">
        <f t="shared" ca="1" si="49"/>
        <v>5</v>
      </c>
      <c r="C758" s="3">
        <f t="shared" ca="1" si="49"/>
        <v>5</v>
      </c>
      <c r="D758" s="2">
        <f t="shared" ca="1" si="46"/>
        <v>10</v>
      </c>
      <c r="E758" s="2">
        <f t="shared" ca="1" si="47"/>
        <v>1</v>
      </c>
    </row>
    <row r="759" spans="1:5" x14ac:dyDescent="0.3">
      <c r="A759" s="3">
        <f t="shared" si="48"/>
        <v>757</v>
      </c>
      <c r="B759" s="3">
        <f t="shared" ca="1" si="49"/>
        <v>6</v>
      </c>
      <c r="C759" s="3">
        <f t="shared" ca="1" si="49"/>
        <v>5</v>
      </c>
      <c r="D759" s="2">
        <f t="shared" ca="1" si="46"/>
        <v>11</v>
      </c>
      <c r="E759" s="2">
        <f t="shared" ca="1" si="47"/>
        <v>1</v>
      </c>
    </row>
    <row r="760" spans="1:5" x14ac:dyDescent="0.3">
      <c r="A760" s="3">
        <f t="shared" si="48"/>
        <v>758</v>
      </c>
      <c r="B760" s="3">
        <f t="shared" ca="1" si="49"/>
        <v>2</v>
      </c>
      <c r="C760" s="3">
        <f t="shared" ca="1" si="49"/>
        <v>2</v>
      </c>
      <c r="D760" s="2">
        <f t="shared" ca="1" si="46"/>
        <v>4</v>
      </c>
      <c r="E760" s="2">
        <f t="shared" ca="1" si="47"/>
        <v>0</v>
      </c>
    </row>
    <row r="761" spans="1:5" x14ac:dyDescent="0.3">
      <c r="A761" s="3">
        <f t="shared" si="48"/>
        <v>759</v>
      </c>
      <c r="B761" s="3">
        <f t="shared" ca="1" si="49"/>
        <v>5</v>
      </c>
      <c r="C761" s="3">
        <f t="shared" ca="1" si="49"/>
        <v>3</v>
      </c>
      <c r="D761" s="2">
        <f t="shared" ca="1" si="46"/>
        <v>8</v>
      </c>
      <c r="E761" s="2">
        <f t="shared" ca="1" si="47"/>
        <v>1</v>
      </c>
    </row>
    <row r="762" spans="1:5" x14ac:dyDescent="0.3">
      <c r="A762" s="3">
        <f t="shared" si="48"/>
        <v>760</v>
      </c>
      <c r="B762" s="3">
        <f t="shared" ca="1" si="49"/>
        <v>3</v>
      </c>
      <c r="C762" s="3">
        <f t="shared" ca="1" si="49"/>
        <v>4</v>
      </c>
      <c r="D762" s="2">
        <f t="shared" ca="1" si="46"/>
        <v>7</v>
      </c>
      <c r="E762" s="2">
        <f t="shared" ca="1" si="47"/>
        <v>0</v>
      </c>
    </row>
    <row r="763" spans="1:5" x14ac:dyDescent="0.3">
      <c r="A763" s="3">
        <f t="shared" si="48"/>
        <v>761</v>
      </c>
      <c r="B763" s="3">
        <f t="shared" ca="1" si="49"/>
        <v>3</v>
      </c>
      <c r="C763" s="3">
        <f t="shared" ca="1" si="49"/>
        <v>4</v>
      </c>
      <c r="D763" s="2">
        <f t="shared" ca="1" si="46"/>
        <v>7</v>
      </c>
      <c r="E763" s="2">
        <f t="shared" ca="1" si="47"/>
        <v>0</v>
      </c>
    </row>
    <row r="764" spans="1:5" x14ac:dyDescent="0.3">
      <c r="A764" s="3">
        <f t="shared" si="48"/>
        <v>762</v>
      </c>
      <c r="B764" s="3">
        <f t="shared" ca="1" si="49"/>
        <v>6</v>
      </c>
      <c r="C764" s="3">
        <f t="shared" ca="1" si="49"/>
        <v>5</v>
      </c>
      <c r="D764" s="2">
        <f t="shared" ca="1" si="46"/>
        <v>11</v>
      </c>
      <c r="E764" s="2">
        <f t="shared" ca="1" si="47"/>
        <v>1</v>
      </c>
    </row>
    <row r="765" spans="1:5" x14ac:dyDescent="0.3">
      <c r="A765" s="3">
        <f t="shared" si="48"/>
        <v>763</v>
      </c>
      <c r="B765" s="3">
        <f t="shared" ca="1" si="49"/>
        <v>5</v>
      </c>
      <c r="C765" s="3">
        <f t="shared" ca="1" si="49"/>
        <v>4</v>
      </c>
      <c r="D765" s="2">
        <f t="shared" ca="1" si="46"/>
        <v>9</v>
      </c>
      <c r="E765" s="2">
        <f t="shared" ca="1" si="47"/>
        <v>1</v>
      </c>
    </row>
    <row r="766" spans="1:5" x14ac:dyDescent="0.3">
      <c r="A766" s="3">
        <f t="shared" si="48"/>
        <v>764</v>
      </c>
      <c r="B766" s="3">
        <f t="shared" ca="1" si="49"/>
        <v>6</v>
      </c>
      <c r="C766" s="3">
        <f t="shared" ca="1" si="49"/>
        <v>5</v>
      </c>
      <c r="D766" s="2">
        <f t="shared" ca="1" si="46"/>
        <v>11</v>
      </c>
      <c r="E766" s="2">
        <f t="shared" ca="1" si="47"/>
        <v>1</v>
      </c>
    </row>
    <row r="767" spans="1:5" x14ac:dyDescent="0.3">
      <c r="A767" s="3">
        <f t="shared" si="48"/>
        <v>765</v>
      </c>
      <c r="B767" s="3">
        <f t="shared" ca="1" si="49"/>
        <v>1</v>
      </c>
      <c r="C767" s="3">
        <f t="shared" ca="1" si="49"/>
        <v>6</v>
      </c>
      <c r="D767" s="2">
        <f t="shared" ca="1" si="46"/>
        <v>7</v>
      </c>
      <c r="E767" s="2">
        <f t="shared" ca="1" si="47"/>
        <v>0</v>
      </c>
    </row>
    <row r="768" spans="1:5" x14ac:dyDescent="0.3">
      <c r="A768" s="3">
        <f t="shared" si="48"/>
        <v>766</v>
      </c>
      <c r="B768" s="3">
        <f t="shared" ca="1" si="49"/>
        <v>3</v>
      </c>
      <c r="C768" s="3">
        <f t="shared" ca="1" si="49"/>
        <v>1</v>
      </c>
      <c r="D768" s="2">
        <f t="shared" ca="1" si="46"/>
        <v>4</v>
      </c>
      <c r="E768" s="2">
        <f t="shared" ca="1" si="47"/>
        <v>0</v>
      </c>
    </row>
    <row r="769" spans="1:5" x14ac:dyDescent="0.3">
      <c r="A769" s="3">
        <f t="shared" si="48"/>
        <v>767</v>
      </c>
      <c r="B769" s="3">
        <f t="shared" ca="1" si="49"/>
        <v>6</v>
      </c>
      <c r="C769" s="3">
        <f t="shared" ca="1" si="49"/>
        <v>6</v>
      </c>
      <c r="D769" s="2">
        <f t="shared" ca="1" si="46"/>
        <v>12</v>
      </c>
      <c r="E769" s="2">
        <f t="shared" ca="1" si="47"/>
        <v>1</v>
      </c>
    </row>
    <row r="770" spans="1:5" x14ac:dyDescent="0.3">
      <c r="A770" s="3">
        <f t="shared" si="48"/>
        <v>768</v>
      </c>
      <c r="B770" s="3">
        <f t="shared" ca="1" si="49"/>
        <v>4</v>
      </c>
      <c r="C770" s="3">
        <f t="shared" ca="1" si="49"/>
        <v>5</v>
      </c>
      <c r="D770" s="2">
        <f t="shared" ca="1" si="46"/>
        <v>9</v>
      </c>
      <c r="E770" s="2">
        <f t="shared" ca="1" si="47"/>
        <v>1</v>
      </c>
    </row>
    <row r="771" spans="1:5" x14ac:dyDescent="0.3">
      <c r="A771" s="3">
        <f t="shared" si="48"/>
        <v>769</v>
      </c>
      <c r="B771" s="3">
        <f t="shared" ca="1" si="49"/>
        <v>2</v>
      </c>
      <c r="C771" s="3">
        <f t="shared" ca="1" si="49"/>
        <v>1</v>
      </c>
      <c r="D771" s="2">
        <f t="shared" ca="1" si="46"/>
        <v>3</v>
      </c>
      <c r="E771" s="2">
        <f t="shared" ca="1" si="47"/>
        <v>0</v>
      </c>
    </row>
    <row r="772" spans="1:5" x14ac:dyDescent="0.3">
      <c r="A772" s="3">
        <f t="shared" si="48"/>
        <v>770</v>
      </c>
      <c r="B772" s="3">
        <f t="shared" ca="1" si="49"/>
        <v>6</v>
      </c>
      <c r="C772" s="3">
        <f t="shared" ca="1" si="49"/>
        <v>3</v>
      </c>
      <c r="D772" s="2">
        <f t="shared" ref="D772:D835" ca="1" si="50">C772+B772</f>
        <v>9</v>
      </c>
      <c r="E772" s="2">
        <f t="shared" ref="E772:E835" ca="1" si="51">IF(D772&gt;=8,1,0)</f>
        <v>1</v>
      </c>
    </row>
    <row r="773" spans="1:5" x14ac:dyDescent="0.3">
      <c r="A773" s="3">
        <f t="shared" ref="A773:A836" si="52">A772+1</f>
        <v>771</v>
      </c>
      <c r="B773" s="3">
        <f t="shared" ref="B773:C836" ca="1" si="53">RANDBETWEEN(1,6)</f>
        <v>3</v>
      </c>
      <c r="C773" s="3">
        <f t="shared" ca="1" si="53"/>
        <v>2</v>
      </c>
      <c r="D773" s="2">
        <f t="shared" ca="1" si="50"/>
        <v>5</v>
      </c>
      <c r="E773" s="2">
        <f t="shared" ca="1" si="51"/>
        <v>0</v>
      </c>
    </row>
    <row r="774" spans="1:5" x14ac:dyDescent="0.3">
      <c r="A774" s="3">
        <f t="shared" si="52"/>
        <v>772</v>
      </c>
      <c r="B774" s="3">
        <f t="shared" ca="1" si="53"/>
        <v>1</v>
      </c>
      <c r="C774" s="3">
        <f t="shared" ca="1" si="53"/>
        <v>6</v>
      </c>
      <c r="D774" s="2">
        <f t="shared" ca="1" si="50"/>
        <v>7</v>
      </c>
      <c r="E774" s="2">
        <f t="shared" ca="1" si="51"/>
        <v>0</v>
      </c>
    </row>
    <row r="775" spans="1:5" x14ac:dyDescent="0.3">
      <c r="A775" s="3">
        <f t="shared" si="52"/>
        <v>773</v>
      </c>
      <c r="B775" s="3">
        <f t="shared" ca="1" si="53"/>
        <v>6</v>
      </c>
      <c r="C775" s="3">
        <f t="shared" ca="1" si="53"/>
        <v>1</v>
      </c>
      <c r="D775" s="2">
        <f t="shared" ca="1" si="50"/>
        <v>7</v>
      </c>
      <c r="E775" s="2">
        <f t="shared" ca="1" si="51"/>
        <v>0</v>
      </c>
    </row>
    <row r="776" spans="1:5" x14ac:dyDescent="0.3">
      <c r="A776" s="3">
        <f t="shared" si="52"/>
        <v>774</v>
      </c>
      <c r="B776" s="3">
        <f t="shared" ca="1" si="53"/>
        <v>2</v>
      </c>
      <c r="C776" s="3">
        <f t="shared" ca="1" si="53"/>
        <v>1</v>
      </c>
      <c r="D776" s="2">
        <f t="shared" ca="1" si="50"/>
        <v>3</v>
      </c>
      <c r="E776" s="2">
        <f t="shared" ca="1" si="51"/>
        <v>0</v>
      </c>
    </row>
    <row r="777" spans="1:5" x14ac:dyDescent="0.3">
      <c r="A777" s="3">
        <f t="shared" si="52"/>
        <v>775</v>
      </c>
      <c r="B777" s="3">
        <f t="shared" ca="1" si="53"/>
        <v>1</v>
      </c>
      <c r="C777" s="3">
        <f t="shared" ca="1" si="53"/>
        <v>5</v>
      </c>
      <c r="D777" s="2">
        <f t="shared" ca="1" si="50"/>
        <v>6</v>
      </c>
      <c r="E777" s="2">
        <f t="shared" ca="1" si="51"/>
        <v>0</v>
      </c>
    </row>
    <row r="778" spans="1:5" x14ac:dyDescent="0.3">
      <c r="A778" s="3">
        <f t="shared" si="52"/>
        <v>776</v>
      </c>
      <c r="B778" s="3">
        <f t="shared" ca="1" si="53"/>
        <v>3</v>
      </c>
      <c r="C778" s="3">
        <f t="shared" ca="1" si="53"/>
        <v>2</v>
      </c>
      <c r="D778" s="2">
        <f t="shared" ca="1" si="50"/>
        <v>5</v>
      </c>
      <c r="E778" s="2">
        <f t="shared" ca="1" si="51"/>
        <v>0</v>
      </c>
    </row>
    <row r="779" spans="1:5" x14ac:dyDescent="0.3">
      <c r="A779" s="3">
        <f t="shared" si="52"/>
        <v>777</v>
      </c>
      <c r="B779" s="3">
        <f t="shared" ca="1" si="53"/>
        <v>1</v>
      </c>
      <c r="C779" s="3">
        <f t="shared" ca="1" si="53"/>
        <v>3</v>
      </c>
      <c r="D779" s="2">
        <f t="shared" ca="1" si="50"/>
        <v>4</v>
      </c>
      <c r="E779" s="2">
        <f t="shared" ca="1" si="51"/>
        <v>0</v>
      </c>
    </row>
    <row r="780" spans="1:5" x14ac:dyDescent="0.3">
      <c r="A780" s="3">
        <f t="shared" si="52"/>
        <v>778</v>
      </c>
      <c r="B780" s="3">
        <f t="shared" ca="1" si="53"/>
        <v>5</v>
      </c>
      <c r="C780" s="3">
        <f t="shared" ca="1" si="53"/>
        <v>2</v>
      </c>
      <c r="D780" s="2">
        <f t="shared" ca="1" si="50"/>
        <v>7</v>
      </c>
      <c r="E780" s="2">
        <f t="shared" ca="1" si="51"/>
        <v>0</v>
      </c>
    </row>
    <row r="781" spans="1:5" x14ac:dyDescent="0.3">
      <c r="A781" s="3">
        <f t="shared" si="52"/>
        <v>779</v>
      </c>
      <c r="B781" s="3">
        <f t="shared" ca="1" si="53"/>
        <v>2</v>
      </c>
      <c r="C781" s="3">
        <f t="shared" ca="1" si="53"/>
        <v>3</v>
      </c>
      <c r="D781" s="2">
        <f t="shared" ca="1" si="50"/>
        <v>5</v>
      </c>
      <c r="E781" s="2">
        <f t="shared" ca="1" si="51"/>
        <v>0</v>
      </c>
    </row>
    <row r="782" spans="1:5" x14ac:dyDescent="0.3">
      <c r="A782" s="3">
        <f t="shared" si="52"/>
        <v>780</v>
      </c>
      <c r="B782" s="3">
        <f t="shared" ca="1" si="53"/>
        <v>4</v>
      </c>
      <c r="C782" s="3">
        <f t="shared" ca="1" si="53"/>
        <v>4</v>
      </c>
      <c r="D782" s="2">
        <f t="shared" ca="1" si="50"/>
        <v>8</v>
      </c>
      <c r="E782" s="2">
        <f t="shared" ca="1" si="51"/>
        <v>1</v>
      </c>
    </row>
    <row r="783" spans="1:5" x14ac:dyDescent="0.3">
      <c r="A783" s="3">
        <f t="shared" si="52"/>
        <v>781</v>
      </c>
      <c r="B783" s="3">
        <f t="shared" ca="1" si="53"/>
        <v>5</v>
      </c>
      <c r="C783" s="3">
        <f t="shared" ca="1" si="53"/>
        <v>4</v>
      </c>
      <c r="D783" s="2">
        <f t="shared" ca="1" si="50"/>
        <v>9</v>
      </c>
      <c r="E783" s="2">
        <f t="shared" ca="1" si="51"/>
        <v>1</v>
      </c>
    </row>
    <row r="784" spans="1:5" x14ac:dyDescent="0.3">
      <c r="A784" s="3">
        <f t="shared" si="52"/>
        <v>782</v>
      </c>
      <c r="B784" s="3">
        <f t="shared" ca="1" si="53"/>
        <v>2</v>
      </c>
      <c r="C784" s="3">
        <f t="shared" ca="1" si="53"/>
        <v>6</v>
      </c>
      <c r="D784" s="2">
        <f t="shared" ca="1" si="50"/>
        <v>8</v>
      </c>
      <c r="E784" s="2">
        <f t="shared" ca="1" si="51"/>
        <v>1</v>
      </c>
    </row>
    <row r="785" spans="1:5" x14ac:dyDescent="0.3">
      <c r="A785" s="3">
        <f t="shared" si="52"/>
        <v>783</v>
      </c>
      <c r="B785" s="3">
        <f t="shared" ca="1" si="53"/>
        <v>5</v>
      </c>
      <c r="C785" s="3">
        <f t="shared" ca="1" si="53"/>
        <v>5</v>
      </c>
      <c r="D785" s="2">
        <f t="shared" ca="1" si="50"/>
        <v>10</v>
      </c>
      <c r="E785" s="2">
        <f t="shared" ca="1" si="51"/>
        <v>1</v>
      </c>
    </row>
    <row r="786" spans="1:5" x14ac:dyDescent="0.3">
      <c r="A786" s="3">
        <f t="shared" si="52"/>
        <v>784</v>
      </c>
      <c r="B786" s="3">
        <f t="shared" ca="1" si="53"/>
        <v>3</v>
      </c>
      <c r="C786" s="3">
        <f t="shared" ca="1" si="53"/>
        <v>1</v>
      </c>
      <c r="D786" s="2">
        <f t="shared" ca="1" si="50"/>
        <v>4</v>
      </c>
      <c r="E786" s="2">
        <f t="shared" ca="1" si="51"/>
        <v>0</v>
      </c>
    </row>
    <row r="787" spans="1:5" x14ac:dyDescent="0.3">
      <c r="A787" s="3">
        <f t="shared" si="52"/>
        <v>785</v>
      </c>
      <c r="B787" s="3">
        <f t="shared" ca="1" si="53"/>
        <v>4</v>
      </c>
      <c r="C787" s="3">
        <f t="shared" ca="1" si="53"/>
        <v>4</v>
      </c>
      <c r="D787" s="2">
        <f t="shared" ca="1" si="50"/>
        <v>8</v>
      </c>
      <c r="E787" s="2">
        <f t="shared" ca="1" si="51"/>
        <v>1</v>
      </c>
    </row>
    <row r="788" spans="1:5" x14ac:dyDescent="0.3">
      <c r="A788" s="3">
        <f t="shared" si="52"/>
        <v>786</v>
      </c>
      <c r="B788" s="3">
        <f t="shared" ca="1" si="53"/>
        <v>1</v>
      </c>
      <c r="C788" s="3">
        <f t="shared" ca="1" si="53"/>
        <v>6</v>
      </c>
      <c r="D788" s="2">
        <f t="shared" ca="1" si="50"/>
        <v>7</v>
      </c>
      <c r="E788" s="2">
        <f t="shared" ca="1" si="51"/>
        <v>0</v>
      </c>
    </row>
    <row r="789" spans="1:5" x14ac:dyDescent="0.3">
      <c r="A789" s="3">
        <f t="shared" si="52"/>
        <v>787</v>
      </c>
      <c r="B789" s="3">
        <f t="shared" ca="1" si="53"/>
        <v>4</v>
      </c>
      <c r="C789" s="3">
        <f t="shared" ca="1" si="53"/>
        <v>1</v>
      </c>
      <c r="D789" s="2">
        <f t="shared" ca="1" si="50"/>
        <v>5</v>
      </c>
      <c r="E789" s="2">
        <f t="shared" ca="1" si="51"/>
        <v>0</v>
      </c>
    </row>
    <row r="790" spans="1:5" x14ac:dyDescent="0.3">
      <c r="A790" s="3">
        <f t="shared" si="52"/>
        <v>788</v>
      </c>
      <c r="B790" s="3">
        <f t="shared" ca="1" si="53"/>
        <v>3</v>
      </c>
      <c r="C790" s="3">
        <f t="shared" ca="1" si="53"/>
        <v>3</v>
      </c>
      <c r="D790" s="2">
        <f t="shared" ca="1" si="50"/>
        <v>6</v>
      </c>
      <c r="E790" s="2">
        <f t="shared" ca="1" si="51"/>
        <v>0</v>
      </c>
    </row>
    <row r="791" spans="1:5" x14ac:dyDescent="0.3">
      <c r="A791" s="3">
        <f t="shared" si="52"/>
        <v>789</v>
      </c>
      <c r="B791" s="3">
        <f t="shared" ca="1" si="53"/>
        <v>3</v>
      </c>
      <c r="C791" s="3">
        <f t="shared" ca="1" si="53"/>
        <v>2</v>
      </c>
      <c r="D791" s="2">
        <f t="shared" ca="1" si="50"/>
        <v>5</v>
      </c>
      <c r="E791" s="2">
        <f t="shared" ca="1" si="51"/>
        <v>0</v>
      </c>
    </row>
    <row r="792" spans="1:5" x14ac:dyDescent="0.3">
      <c r="A792" s="3">
        <f t="shared" si="52"/>
        <v>790</v>
      </c>
      <c r="B792" s="3">
        <f t="shared" ca="1" si="53"/>
        <v>2</v>
      </c>
      <c r="C792" s="3">
        <f t="shared" ca="1" si="53"/>
        <v>4</v>
      </c>
      <c r="D792" s="2">
        <f t="shared" ca="1" si="50"/>
        <v>6</v>
      </c>
      <c r="E792" s="2">
        <f t="shared" ca="1" si="51"/>
        <v>0</v>
      </c>
    </row>
    <row r="793" spans="1:5" x14ac:dyDescent="0.3">
      <c r="A793" s="3">
        <f t="shared" si="52"/>
        <v>791</v>
      </c>
      <c r="B793" s="3">
        <f t="shared" ca="1" si="53"/>
        <v>4</v>
      </c>
      <c r="C793" s="3">
        <f t="shared" ca="1" si="53"/>
        <v>2</v>
      </c>
      <c r="D793" s="2">
        <f t="shared" ca="1" si="50"/>
        <v>6</v>
      </c>
      <c r="E793" s="2">
        <f t="shared" ca="1" si="51"/>
        <v>0</v>
      </c>
    </row>
    <row r="794" spans="1:5" x14ac:dyDescent="0.3">
      <c r="A794" s="3">
        <f t="shared" si="52"/>
        <v>792</v>
      </c>
      <c r="B794" s="3">
        <f t="shared" ca="1" si="53"/>
        <v>1</v>
      </c>
      <c r="C794" s="3">
        <f t="shared" ca="1" si="53"/>
        <v>1</v>
      </c>
      <c r="D794" s="2">
        <f t="shared" ca="1" si="50"/>
        <v>2</v>
      </c>
      <c r="E794" s="2">
        <f t="shared" ca="1" si="51"/>
        <v>0</v>
      </c>
    </row>
    <row r="795" spans="1:5" x14ac:dyDescent="0.3">
      <c r="A795" s="3">
        <f t="shared" si="52"/>
        <v>793</v>
      </c>
      <c r="B795" s="3">
        <f t="shared" ca="1" si="53"/>
        <v>1</v>
      </c>
      <c r="C795" s="3">
        <f t="shared" ca="1" si="53"/>
        <v>3</v>
      </c>
      <c r="D795" s="2">
        <f t="shared" ca="1" si="50"/>
        <v>4</v>
      </c>
      <c r="E795" s="2">
        <f t="shared" ca="1" si="51"/>
        <v>0</v>
      </c>
    </row>
    <row r="796" spans="1:5" x14ac:dyDescent="0.3">
      <c r="A796" s="3">
        <f t="shared" si="52"/>
        <v>794</v>
      </c>
      <c r="B796" s="3">
        <f t="shared" ca="1" si="53"/>
        <v>6</v>
      </c>
      <c r="C796" s="3">
        <f t="shared" ca="1" si="53"/>
        <v>3</v>
      </c>
      <c r="D796" s="2">
        <f t="shared" ca="1" si="50"/>
        <v>9</v>
      </c>
      <c r="E796" s="2">
        <f t="shared" ca="1" si="51"/>
        <v>1</v>
      </c>
    </row>
    <row r="797" spans="1:5" x14ac:dyDescent="0.3">
      <c r="A797" s="3">
        <f t="shared" si="52"/>
        <v>795</v>
      </c>
      <c r="B797" s="3">
        <f t="shared" ca="1" si="53"/>
        <v>1</v>
      </c>
      <c r="C797" s="3">
        <f t="shared" ca="1" si="53"/>
        <v>5</v>
      </c>
      <c r="D797" s="2">
        <f t="shared" ca="1" si="50"/>
        <v>6</v>
      </c>
      <c r="E797" s="2">
        <f t="shared" ca="1" si="51"/>
        <v>0</v>
      </c>
    </row>
    <row r="798" spans="1:5" x14ac:dyDescent="0.3">
      <c r="A798" s="3">
        <f t="shared" si="52"/>
        <v>796</v>
      </c>
      <c r="B798" s="3">
        <f t="shared" ca="1" si="53"/>
        <v>5</v>
      </c>
      <c r="C798" s="3">
        <f t="shared" ca="1" si="53"/>
        <v>6</v>
      </c>
      <c r="D798" s="2">
        <f t="shared" ca="1" si="50"/>
        <v>11</v>
      </c>
      <c r="E798" s="2">
        <f t="shared" ca="1" si="51"/>
        <v>1</v>
      </c>
    </row>
    <row r="799" spans="1:5" x14ac:dyDescent="0.3">
      <c r="A799" s="3">
        <f t="shared" si="52"/>
        <v>797</v>
      </c>
      <c r="B799" s="3">
        <f t="shared" ca="1" si="53"/>
        <v>3</v>
      </c>
      <c r="C799" s="3">
        <f t="shared" ca="1" si="53"/>
        <v>6</v>
      </c>
      <c r="D799" s="2">
        <f t="shared" ca="1" si="50"/>
        <v>9</v>
      </c>
      <c r="E799" s="2">
        <f t="shared" ca="1" si="51"/>
        <v>1</v>
      </c>
    </row>
    <row r="800" spans="1:5" x14ac:dyDescent="0.3">
      <c r="A800" s="3">
        <f t="shared" si="52"/>
        <v>798</v>
      </c>
      <c r="B800" s="3">
        <f t="shared" ca="1" si="53"/>
        <v>4</v>
      </c>
      <c r="C800" s="3">
        <f t="shared" ca="1" si="53"/>
        <v>5</v>
      </c>
      <c r="D800" s="2">
        <f t="shared" ca="1" si="50"/>
        <v>9</v>
      </c>
      <c r="E800" s="2">
        <f t="shared" ca="1" si="51"/>
        <v>1</v>
      </c>
    </row>
    <row r="801" spans="1:5" x14ac:dyDescent="0.3">
      <c r="A801" s="3">
        <f t="shared" si="52"/>
        <v>799</v>
      </c>
      <c r="B801" s="3">
        <f t="shared" ca="1" si="53"/>
        <v>3</v>
      </c>
      <c r="C801" s="3">
        <f t="shared" ca="1" si="53"/>
        <v>1</v>
      </c>
      <c r="D801" s="2">
        <f t="shared" ca="1" si="50"/>
        <v>4</v>
      </c>
      <c r="E801" s="2">
        <f t="shared" ca="1" si="51"/>
        <v>0</v>
      </c>
    </row>
    <row r="802" spans="1:5" x14ac:dyDescent="0.3">
      <c r="A802" s="3">
        <f t="shared" si="52"/>
        <v>800</v>
      </c>
      <c r="B802" s="3">
        <f t="shared" ca="1" si="53"/>
        <v>4</v>
      </c>
      <c r="C802" s="3">
        <f t="shared" ca="1" si="53"/>
        <v>4</v>
      </c>
      <c r="D802" s="2">
        <f t="shared" ca="1" si="50"/>
        <v>8</v>
      </c>
      <c r="E802" s="2">
        <f t="shared" ca="1" si="51"/>
        <v>1</v>
      </c>
    </row>
    <row r="803" spans="1:5" x14ac:dyDescent="0.3">
      <c r="A803" s="3">
        <f t="shared" si="52"/>
        <v>801</v>
      </c>
      <c r="B803" s="3">
        <f t="shared" ca="1" si="53"/>
        <v>2</v>
      </c>
      <c r="C803" s="3">
        <f t="shared" ca="1" si="53"/>
        <v>1</v>
      </c>
      <c r="D803" s="2">
        <f t="shared" ca="1" si="50"/>
        <v>3</v>
      </c>
      <c r="E803" s="2">
        <f t="shared" ca="1" si="51"/>
        <v>0</v>
      </c>
    </row>
    <row r="804" spans="1:5" x14ac:dyDescent="0.3">
      <c r="A804" s="3">
        <f t="shared" si="52"/>
        <v>802</v>
      </c>
      <c r="B804" s="3">
        <f t="shared" ca="1" si="53"/>
        <v>1</v>
      </c>
      <c r="C804" s="3">
        <f t="shared" ca="1" si="53"/>
        <v>6</v>
      </c>
      <c r="D804" s="2">
        <f t="shared" ca="1" si="50"/>
        <v>7</v>
      </c>
      <c r="E804" s="2">
        <f t="shared" ca="1" si="51"/>
        <v>0</v>
      </c>
    </row>
    <row r="805" spans="1:5" x14ac:dyDescent="0.3">
      <c r="A805" s="3">
        <f t="shared" si="52"/>
        <v>803</v>
      </c>
      <c r="B805" s="3">
        <f t="shared" ca="1" si="53"/>
        <v>4</v>
      </c>
      <c r="C805" s="3">
        <f t="shared" ca="1" si="53"/>
        <v>1</v>
      </c>
      <c r="D805" s="2">
        <f t="shared" ca="1" si="50"/>
        <v>5</v>
      </c>
      <c r="E805" s="2">
        <f t="shared" ca="1" si="51"/>
        <v>0</v>
      </c>
    </row>
    <row r="806" spans="1:5" x14ac:dyDescent="0.3">
      <c r="A806" s="3">
        <f t="shared" si="52"/>
        <v>804</v>
      </c>
      <c r="B806" s="3">
        <f t="shared" ca="1" si="53"/>
        <v>6</v>
      </c>
      <c r="C806" s="3">
        <f t="shared" ca="1" si="53"/>
        <v>4</v>
      </c>
      <c r="D806" s="2">
        <f t="shared" ca="1" si="50"/>
        <v>10</v>
      </c>
      <c r="E806" s="2">
        <f t="shared" ca="1" si="51"/>
        <v>1</v>
      </c>
    </row>
    <row r="807" spans="1:5" x14ac:dyDescent="0.3">
      <c r="A807" s="3">
        <f t="shared" si="52"/>
        <v>805</v>
      </c>
      <c r="B807" s="3">
        <f t="shared" ca="1" si="53"/>
        <v>6</v>
      </c>
      <c r="C807" s="3">
        <f t="shared" ca="1" si="53"/>
        <v>5</v>
      </c>
      <c r="D807" s="2">
        <f t="shared" ca="1" si="50"/>
        <v>11</v>
      </c>
      <c r="E807" s="2">
        <f t="shared" ca="1" si="51"/>
        <v>1</v>
      </c>
    </row>
    <row r="808" spans="1:5" x14ac:dyDescent="0.3">
      <c r="A808" s="3">
        <f t="shared" si="52"/>
        <v>806</v>
      </c>
      <c r="B808" s="3">
        <f t="shared" ca="1" si="53"/>
        <v>2</v>
      </c>
      <c r="C808" s="3">
        <f t="shared" ca="1" si="53"/>
        <v>2</v>
      </c>
      <c r="D808" s="2">
        <f t="shared" ca="1" si="50"/>
        <v>4</v>
      </c>
      <c r="E808" s="2">
        <f t="shared" ca="1" si="51"/>
        <v>0</v>
      </c>
    </row>
    <row r="809" spans="1:5" x14ac:dyDescent="0.3">
      <c r="A809" s="3">
        <f t="shared" si="52"/>
        <v>807</v>
      </c>
      <c r="B809" s="3">
        <f t="shared" ca="1" si="53"/>
        <v>6</v>
      </c>
      <c r="C809" s="3">
        <f t="shared" ca="1" si="53"/>
        <v>2</v>
      </c>
      <c r="D809" s="2">
        <f t="shared" ca="1" si="50"/>
        <v>8</v>
      </c>
      <c r="E809" s="2">
        <f t="shared" ca="1" si="51"/>
        <v>1</v>
      </c>
    </row>
    <row r="810" spans="1:5" x14ac:dyDescent="0.3">
      <c r="A810" s="3">
        <f t="shared" si="52"/>
        <v>808</v>
      </c>
      <c r="B810" s="3">
        <f t="shared" ca="1" si="53"/>
        <v>1</v>
      </c>
      <c r="C810" s="3">
        <f t="shared" ca="1" si="53"/>
        <v>1</v>
      </c>
      <c r="D810" s="2">
        <f t="shared" ca="1" si="50"/>
        <v>2</v>
      </c>
      <c r="E810" s="2">
        <f t="shared" ca="1" si="51"/>
        <v>0</v>
      </c>
    </row>
    <row r="811" spans="1:5" x14ac:dyDescent="0.3">
      <c r="A811" s="3">
        <f t="shared" si="52"/>
        <v>809</v>
      </c>
      <c r="B811" s="3">
        <f t="shared" ca="1" si="53"/>
        <v>5</v>
      </c>
      <c r="C811" s="3">
        <f t="shared" ca="1" si="53"/>
        <v>5</v>
      </c>
      <c r="D811" s="2">
        <f t="shared" ca="1" si="50"/>
        <v>10</v>
      </c>
      <c r="E811" s="2">
        <f t="shared" ca="1" si="51"/>
        <v>1</v>
      </c>
    </row>
    <row r="812" spans="1:5" x14ac:dyDescent="0.3">
      <c r="A812" s="3">
        <f t="shared" si="52"/>
        <v>810</v>
      </c>
      <c r="B812" s="3">
        <f t="shared" ca="1" si="53"/>
        <v>4</v>
      </c>
      <c r="C812" s="3">
        <f t="shared" ca="1" si="53"/>
        <v>5</v>
      </c>
      <c r="D812" s="2">
        <f t="shared" ca="1" si="50"/>
        <v>9</v>
      </c>
      <c r="E812" s="2">
        <f t="shared" ca="1" si="51"/>
        <v>1</v>
      </c>
    </row>
    <row r="813" spans="1:5" x14ac:dyDescent="0.3">
      <c r="A813" s="3">
        <f t="shared" si="52"/>
        <v>811</v>
      </c>
      <c r="B813" s="3">
        <f t="shared" ca="1" si="53"/>
        <v>6</v>
      </c>
      <c r="C813" s="3">
        <f t="shared" ca="1" si="53"/>
        <v>2</v>
      </c>
      <c r="D813" s="2">
        <f t="shared" ca="1" si="50"/>
        <v>8</v>
      </c>
      <c r="E813" s="2">
        <f t="shared" ca="1" si="51"/>
        <v>1</v>
      </c>
    </row>
    <row r="814" spans="1:5" x14ac:dyDescent="0.3">
      <c r="A814" s="3">
        <f t="shared" si="52"/>
        <v>812</v>
      </c>
      <c r="B814" s="3">
        <f t="shared" ca="1" si="53"/>
        <v>6</v>
      </c>
      <c r="C814" s="3">
        <f t="shared" ca="1" si="53"/>
        <v>5</v>
      </c>
      <c r="D814" s="2">
        <f t="shared" ca="1" si="50"/>
        <v>11</v>
      </c>
      <c r="E814" s="2">
        <f t="shared" ca="1" si="51"/>
        <v>1</v>
      </c>
    </row>
    <row r="815" spans="1:5" x14ac:dyDescent="0.3">
      <c r="A815" s="3">
        <f t="shared" si="52"/>
        <v>813</v>
      </c>
      <c r="B815" s="3">
        <f t="shared" ca="1" si="53"/>
        <v>2</v>
      </c>
      <c r="C815" s="3">
        <f t="shared" ca="1" si="53"/>
        <v>5</v>
      </c>
      <c r="D815" s="2">
        <f t="shared" ca="1" si="50"/>
        <v>7</v>
      </c>
      <c r="E815" s="2">
        <f t="shared" ca="1" si="51"/>
        <v>0</v>
      </c>
    </row>
    <row r="816" spans="1:5" x14ac:dyDescent="0.3">
      <c r="A816" s="3">
        <f t="shared" si="52"/>
        <v>814</v>
      </c>
      <c r="B816" s="3">
        <f t="shared" ca="1" si="53"/>
        <v>4</v>
      </c>
      <c r="C816" s="3">
        <f t="shared" ca="1" si="53"/>
        <v>2</v>
      </c>
      <c r="D816" s="2">
        <f t="shared" ca="1" si="50"/>
        <v>6</v>
      </c>
      <c r="E816" s="2">
        <f t="shared" ca="1" si="51"/>
        <v>0</v>
      </c>
    </row>
    <row r="817" spans="1:5" x14ac:dyDescent="0.3">
      <c r="A817" s="3">
        <f t="shared" si="52"/>
        <v>815</v>
      </c>
      <c r="B817" s="3">
        <f t="shared" ca="1" si="53"/>
        <v>4</v>
      </c>
      <c r="C817" s="3">
        <f t="shared" ca="1" si="53"/>
        <v>6</v>
      </c>
      <c r="D817" s="2">
        <f t="shared" ca="1" si="50"/>
        <v>10</v>
      </c>
      <c r="E817" s="2">
        <f t="shared" ca="1" si="51"/>
        <v>1</v>
      </c>
    </row>
    <row r="818" spans="1:5" x14ac:dyDescent="0.3">
      <c r="A818" s="3">
        <f t="shared" si="52"/>
        <v>816</v>
      </c>
      <c r="B818" s="3">
        <f t="shared" ca="1" si="53"/>
        <v>1</v>
      </c>
      <c r="C818" s="3">
        <f t="shared" ca="1" si="53"/>
        <v>5</v>
      </c>
      <c r="D818" s="2">
        <f t="shared" ca="1" si="50"/>
        <v>6</v>
      </c>
      <c r="E818" s="2">
        <f t="shared" ca="1" si="51"/>
        <v>0</v>
      </c>
    </row>
    <row r="819" spans="1:5" x14ac:dyDescent="0.3">
      <c r="A819" s="3">
        <f t="shared" si="52"/>
        <v>817</v>
      </c>
      <c r="B819" s="3">
        <f t="shared" ca="1" si="53"/>
        <v>2</v>
      </c>
      <c r="C819" s="3">
        <f t="shared" ca="1" si="53"/>
        <v>2</v>
      </c>
      <c r="D819" s="2">
        <f t="shared" ca="1" si="50"/>
        <v>4</v>
      </c>
      <c r="E819" s="2">
        <f t="shared" ca="1" si="51"/>
        <v>0</v>
      </c>
    </row>
    <row r="820" spans="1:5" x14ac:dyDescent="0.3">
      <c r="A820" s="3">
        <f t="shared" si="52"/>
        <v>818</v>
      </c>
      <c r="B820" s="3">
        <f t="shared" ca="1" si="53"/>
        <v>2</v>
      </c>
      <c r="C820" s="3">
        <f t="shared" ca="1" si="53"/>
        <v>5</v>
      </c>
      <c r="D820" s="2">
        <f t="shared" ca="1" si="50"/>
        <v>7</v>
      </c>
      <c r="E820" s="2">
        <f t="shared" ca="1" si="51"/>
        <v>0</v>
      </c>
    </row>
    <row r="821" spans="1:5" x14ac:dyDescent="0.3">
      <c r="A821" s="3">
        <f t="shared" si="52"/>
        <v>819</v>
      </c>
      <c r="B821" s="3">
        <f t="shared" ca="1" si="53"/>
        <v>1</v>
      </c>
      <c r="C821" s="3">
        <f t="shared" ca="1" si="53"/>
        <v>4</v>
      </c>
      <c r="D821" s="2">
        <f t="shared" ca="1" si="50"/>
        <v>5</v>
      </c>
      <c r="E821" s="2">
        <f t="shared" ca="1" si="51"/>
        <v>0</v>
      </c>
    </row>
    <row r="822" spans="1:5" x14ac:dyDescent="0.3">
      <c r="A822" s="3">
        <f t="shared" si="52"/>
        <v>820</v>
      </c>
      <c r="B822" s="3">
        <f t="shared" ca="1" si="53"/>
        <v>3</v>
      </c>
      <c r="C822" s="3">
        <f t="shared" ca="1" si="53"/>
        <v>6</v>
      </c>
      <c r="D822" s="2">
        <f t="shared" ca="1" si="50"/>
        <v>9</v>
      </c>
      <c r="E822" s="2">
        <f t="shared" ca="1" si="51"/>
        <v>1</v>
      </c>
    </row>
    <row r="823" spans="1:5" x14ac:dyDescent="0.3">
      <c r="A823" s="3">
        <f t="shared" si="52"/>
        <v>821</v>
      </c>
      <c r="B823" s="3">
        <f t="shared" ca="1" si="53"/>
        <v>2</v>
      </c>
      <c r="C823" s="3">
        <f t="shared" ca="1" si="53"/>
        <v>6</v>
      </c>
      <c r="D823" s="2">
        <f t="shared" ca="1" si="50"/>
        <v>8</v>
      </c>
      <c r="E823" s="2">
        <f t="shared" ca="1" si="51"/>
        <v>1</v>
      </c>
    </row>
    <row r="824" spans="1:5" x14ac:dyDescent="0.3">
      <c r="A824" s="3">
        <f t="shared" si="52"/>
        <v>822</v>
      </c>
      <c r="B824" s="3">
        <f t="shared" ca="1" si="53"/>
        <v>1</v>
      </c>
      <c r="C824" s="3">
        <f t="shared" ca="1" si="53"/>
        <v>1</v>
      </c>
      <c r="D824" s="2">
        <f t="shared" ca="1" si="50"/>
        <v>2</v>
      </c>
      <c r="E824" s="2">
        <f t="shared" ca="1" si="51"/>
        <v>0</v>
      </c>
    </row>
    <row r="825" spans="1:5" x14ac:dyDescent="0.3">
      <c r="A825" s="3">
        <f t="shared" si="52"/>
        <v>823</v>
      </c>
      <c r="B825" s="3">
        <f t="shared" ca="1" si="53"/>
        <v>2</v>
      </c>
      <c r="C825" s="3">
        <f t="shared" ca="1" si="53"/>
        <v>4</v>
      </c>
      <c r="D825" s="2">
        <f t="shared" ca="1" si="50"/>
        <v>6</v>
      </c>
      <c r="E825" s="2">
        <f t="shared" ca="1" si="51"/>
        <v>0</v>
      </c>
    </row>
    <row r="826" spans="1:5" x14ac:dyDescent="0.3">
      <c r="A826" s="3">
        <f t="shared" si="52"/>
        <v>824</v>
      </c>
      <c r="B826" s="3">
        <f t="shared" ca="1" si="53"/>
        <v>3</v>
      </c>
      <c r="C826" s="3">
        <f t="shared" ca="1" si="53"/>
        <v>2</v>
      </c>
      <c r="D826" s="2">
        <f t="shared" ca="1" si="50"/>
        <v>5</v>
      </c>
      <c r="E826" s="2">
        <f t="shared" ca="1" si="51"/>
        <v>0</v>
      </c>
    </row>
    <row r="827" spans="1:5" x14ac:dyDescent="0.3">
      <c r="A827" s="3">
        <f t="shared" si="52"/>
        <v>825</v>
      </c>
      <c r="B827" s="3">
        <f t="shared" ca="1" si="53"/>
        <v>1</v>
      </c>
      <c r="C827" s="3">
        <f t="shared" ca="1" si="53"/>
        <v>1</v>
      </c>
      <c r="D827" s="2">
        <f t="shared" ca="1" si="50"/>
        <v>2</v>
      </c>
      <c r="E827" s="2">
        <f t="shared" ca="1" si="51"/>
        <v>0</v>
      </c>
    </row>
    <row r="828" spans="1:5" x14ac:dyDescent="0.3">
      <c r="A828" s="3">
        <f t="shared" si="52"/>
        <v>826</v>
      </c>
      <c r="B828" s="3">
        <f t="shared" ca="1" si="53"/>
        <v>5</v>
      </c>
      <c r="C828" s="3">
        <f t="shared" ca="1" si="53"/>
        <v>4</v>
      </c>
      <c r="D828" s="2">
        <f t="shared" ca="1" si="50"/>
        <v>9</v>
      </c>
      <c r="E828" s="2">
        <f t="shared" ca="1" si="51"/>
        <v>1</v>
      </c>
    </row>
    <row r="829" spans="1:5" x14ac:dyDescent="0.3">
      <c r="A829" s="3">
        <f t="shared" si="52"/>
        <v>827</v>
      </c>
      <c r="B829" s="3">
        <f t="shared" ca="1" si="53"/>
        <v>3</v>
      </c>
      <c r="C829" s="3">
        <f t="shared" ca="1" si="53"/>
        <v>2</v>
      </c>
      <c r="D829" s="2">
        <f t="shared" ca="1" si="50"/>
        <v>5</v>
      </c>
      <c r="E829" s="2">
        <f t="shared" ca="1" si="51"/>
        <v>0</v>
      </c>
    </row>
    <row r="830" spans="1:5" x14ac:dyDescent="0.3">
      <c r="A830" s="3">
        <f t="shared" si="52"/>
        <v>828</v>
      </c>
      <c r="B830" s="3">
        <f t="shared" ca="1" si="53"/>
        <v>6</v>
      </c>
      <c r="C830" s="3">
        <f t="shared" ca="1" si="53"/>
        <v>2</v>
      </c>
      <c r="D830" s="2">
        <f t="shared" ca="1" si="50"/>
        <v>8</v>
      </c>
      <c r="E830" s="2">
        <f t="shared" ca="1" si="51"/>
        <v>1</v>
      </c>
    </row>
    <row r="831" spans="1:5" x14ac:dyDescent="0.3">
      <c r="A831" s="3">
        <f t="shared" si="52"/>
        <v>829</v>
      </c>
      <c r="B831" s="3">
        <f t="shared" ca="1" si="53"/>
        <v>1</v>
      </c>
      <c r="C831" s="3">
        <f t="shared" ca="1" si="53"/>
        <v>4</v>
      </c>
      <c r="D831" s="2">
        <f t="shared" ca="1" si="50"/>
        <v>5</v>
      </c>
      <c r="E831" s="2">
        <f t="shared" ca="1" si="51"/>
        <v>0</v>
      </c>
    </row>
    <row r="832" spans="1:5" x14ac:dyDescent="0.3">
      <c r="A832" s="3">
        <f t="shared" si="52"/>
        <v>830</v>
      </c>
      <c r="B832" s="3">
        <f t="shared" ca="1" si="53"/>
        <v>6</v>
      </c>
      <c r="C832" s="3">
        <f t="shared" ca="1" si="53"/>
        <v>2</v>
      </c>
      <c r="D832" s="2">
        <f t="shared" ca="1" si="50"/>
        <v>8</v>
      </c>
      <c r="E832" s="2">
        <f t="shared" ca="1" si="51"/>
        <v>1</v>
      </c>
    </row>
    <row r="833" spans="1:5" x14ac:dyDescent="0.3">
      <c r="A833" s="3">
        <f t="shared" si="52"/>
        <v>831</v>
      </c>
      <c r="B833" s="3">
        <f t="shared" ca="1" si="53"/>
        <v>3</v>
      </c>
      <c r="C833" s="3">
        <f t="shared" ca="1" si="53"/>
        <v>5</v>
      </c>
      <c r="D833" s="2">
        <f t="shared" ca="1" si="50"/>
        <v>8</v>
      </c>
      <c r="E833" s="2">
        <f t="shared" ca="1" si="51"/>
        <v>1</v>
      </c>
    </row>
    <row r="834" spans="1:5" x14ac:dyDescent="0.3">
      <c r="A834" s="3">
        <f t="shared" si="52"/>
        <v>832</v>
      </c>
      <c r="B834" s="3">
        <f t="shared" ca="1" si="53"/>
        <v>1</v>
      </c>
      <c r="C834" s="3">
        <f t="shared" ca="1" si="53"/>
        <v>2</v>
      </c>
      <c r="D834" s="2">
        <f t="shared" ca="1" si="50"/>
        <v>3</v>
      </c>
      <c r="E834" s="2">
        <f t="shared" ca="1" si="51"/>
        <v>0</v>
      </c>
    </row>
    <row r="835" spans="1:5" x14ac:dyDescent="0.3">
      <c r="A835" s="3">
        <f t="shared" si="52"/>
        <v>833</v>
      </c>
      <c r="B835" s="3">
        <f t="shared" ca="1" si="53"/>
        <v>4</v>
      </c>
      <c r="C835" s="3">
        <f t="shared" ca="1" si="53"/>
        <v>6</v>
      </c>
      <c r="D835" s="2">
        <f t="shared" ca="1" si="50"/>
        <v>10</v>
      </c>
      <c r="E835" s="2">
        <f t="shared" ca="1" si="51"/>
        <v>1</v>
      </c>
    </row>
    <row r="836" spans="1:5" x14ac:dyDescent="0.3">
      <c r="A836" s="3">
        <f t="shared" si="52"/>
        <v>834</v>
      </c>
      <c r="B836" s="3">
        <f t="shared" ca="1" si="53"/>
        <v>2</v>
      </c>
      <c r="C836" s="3">
        <f t="shared" ca="1" si="53"/>
        <v>3</v>
      </c>
      <c r="D836" s="2">
        <f t="shared" ref="D836:D899" ca="1" si="54">C836+B836</f>
        <v>5</v>
      </c>
      <c r="E836" s="2">
        <f t="shared" ref="E836:E899" ca="1" si="55">IF(D836&gt;=8,1,0)</f>
        <v>0</v>
      </c>
    </row>
    <row r="837" spans="1:5" x14ac:dyDescent="0.3">
      <c r="A837" s="3">
        <f t="shared" ref="A837:A900" si="56">A836+1</f>
        <v>835</v>
      </c>
      <c r="B837" s="3">
        <f t="shared" ref="B837:C868" ca="1" si="57">RANDBETWEEN(1,6)</f>
        <v>1</v>
      </c>
      <c r="C837" s="3">
        <f t="shared" ca="1" si="57"/>
        <v>3</v>
      </c>
      <c r="D837" s="2">
        <f t="shared" ca="1" si="54"/>
        <v>4</v>
      </c>
      <c r="E837" s="2">
        <f t="shared" ca="1" si="55"/>
        <v>0</v>
      </c>
    </row>
    <row r="838" spans="1:5" x14ac:dyDescent="0.3">
      <c r="A838" s="3">
        <f t="shared" si="56"/>
        <v>836</v>
      </c>
      <c r="B838" s="3">
        <f t="shared" ca="1" si="57"/>
        <v>5</v>
      </c>
      <c r="C838" s="3">
        <f t="shared" ca="1" si="57"/>
        <v>6</v>
      </c>
      <c r="D838" s="2">
        <f t="shared" ca="1" si="54"/>
        <v>11</v>
      </c>
      <c r="E838" s="2">
        <f t="shared" ca="1" si="55"/>
        <v>1</v>
      </c>
    </row>
    <row r="839" spans="1:5" x14ac:dyDescent="0.3">
      <c r="A839" s="3">
        <f t="shared" si="56"/>
        <v>837</v>
      </c>
      <c r="B839" s="3">
        <f t="shared" ca="1" si="57"/>
        <v>3</v>
      </c>
      <c r="C839" s="3">
        <f t="shared" ca="1" si="57"/>
        <v>4</v>
      </c>
      <c r="D839" s="2">
        <f t="shared" ca="1" si="54"/>
        <v>7</v>
      </c>
      <c r="E839" s="2">
        <f t="shared" ca="1" si="55"/>
        <v>0</v>
      </c>
    </row>
    <row r="840" spans="1:5" x14ac:dyDescent="0.3">
      <c r="A840" s="3">
        <f t="shared" si="56"/>
        <v>838</v>
      </c>
      <c r="B840" s="3">
        <f t="shared" ca="1" si="57"/>
        <v>3</v>
      </c>
      <c r="C840" s="3">
        <f t="shared" ca="1" si="57"/>
        <v>6</v>
      </c>
      <c r="D840" s="2">
        <f t="shared" ca="1" si="54"/>
        <v>9</v>
      </c>
      <c r="E840" s="2">
        <f t="shared" ca="1" si="55"/>
        <v>1</v>
      </c>
    </row>
    <row r="841" spans="1:5" x14ac:dyDescent="0.3">
      <c r="A841" s="3">
        <f t="shared" si="56"/>
        <v>839</v>
      </c>
      <c r="B841" s="3">
        <f t="shared" ca="1" si="57"/>
        <v>1</v>
      </c>
      <c r="C841" s="3">
        <f t="shared" ca="1" si="57"/>
        <v>6</v>
      </c>
      <c r="D841" s="2">
        <f t="shared" ca="1" si="54"/>
        <v>7</v>
      </c>
      <c r="E841" s="2">
        <f t="shared" ca="1" si="55"/>
        <v>0</v>
      </c>
    </row>
    <row r="842" spans="1:5" x14ac:dyDescent="0.3">
      <c r="A842" s="3">
        <f t="shared" si="56"/>
        <v>840</v>
      </c>
      <c r="B842" s="3">
        <f t="shared" ca="1" si="57"/>
        <v>5</v>
      </c>
      <c r="C842" s="3">
        <f t="shared" ca="1" si="57"/>
        <v>1</v>
      </c>
      <c r="D842" s="2">
        <f t="shared" ca="1" si="54"/>
        <v>6</v>
      </c>
      <c r="E842" s="2">
        <f t="shared" ca="1" si="55"/>
        <v>0</v>
      </c>
    </row>
    <row r="843" spans="1:5" x14ac:dyDescent="0.3">
      <c r="A843" s="3">
        <f t="shared" si="56"/>
        <v>841</v>
      </c>
      <c r="B843" s="3">
        <f t="shared" ca="1" si="57"/>
        <v>5</v>
      </c>
      <c r="C843" s="3">
        <f t="shared" ca="1" si="57"/>
        <v>2</v>
      </c>
      <c r="D843" s="2">
        <f t="shared" ca="1" si="54"/>
        <v>7</v>
      </c>
      <c r="E843" s="2">
        <f t="shared" ca="1" si="55"/>
        <v>0</v>
      </c>
    </row>
    <row r="844" spans="1:5" x14ac:dyDescent="0.3">
      <c r="A844" s="3">
        <f t="shared" si="56"/>
        <v>842</v>
      </c>
      <c r="B844" s="3">
        <f t="shared" ca="1" si="57"/>
        <v>2</v>
      </c>
      <c r="C844" s="3">
        <f t="shared" ca="1" si="57"/>
        <v>2</v>
      </c>
      <c r="D844" s="2">
        <f t="shared" ca="1" si="54"/>
        <v>4</v>
      </c>
      <c r="E844" s="2">
        <f t="shared" ca="1" si="55"/>
        <v>0</v>
      </c>
    </row>
    <row r="845" spans="1:5" x14ac:dyDescent="0.3">
      <c r="A845" s="3">
        <f t="shared" si="56"/>
        <v>843</v>
      </c>
      <c r="B845" s="3">
        <f t="shared" ca="1" si="57"/>
        <v>6</v>
      </c>
      <c r="C845" s="3">
        <f t="shared" ca="1" si="57"/>
        <v>3</v>
      </c>
      <c r="D845" s="2">
        <f t="shared" ca="1" si="54"/>
        <v>9</v>
      </c>
      <c r="E845" s="2">
        <f t="shared" ca="1" si="55"/>
        <v>1</v>
      </c>
    </row>
    <row r="846" spans="1:5" x14ac:dyDescent="0.3">
      <c r="A846" s="3">
        <f t="shared" si="56"/>
        <v>844</v>
      </c>
      <c r="B846" s="3">
        <f t="shared" ca="1" si="57"/>
        <v>3</v>
      </c>
      <c r="C846" s="3">
        <f t="shared" ca="1" si="57"/>
        <v>5</v>
      </c>
      <c r="D846" s="2">
        <f t="shared" ca="1" si="54"/>
        <v>8</v>
      </c>
      <c r="E846" s="2">
        <f t="shared" ca="1" si="55"/>
        <v>1</v>
      </c>
    </row>
    <row r="847" spans="1:5" x14ac:dyDescent="0.3">
      <c r="A847" s="3">
        <f t="shared" si="56"/>
        <v>845</v>
      </c>
      <c r="B847" s="3">
        <f t="shared" ca="1" si="57"/>
        <v>3</v>
      </c>
      <c r="C847" s="3">
        <f t="shared" ca="1" si="57"/>
        <v>3</v>
      </c>
      <c r="D847" s="2">
        <f t="shared" ca="1" si="54"/>
        <v>6</v>
      </c>
      <c r="E847" s="2">
        <f t="shared" ca="1" si="55"/>
        <v>0</v>
      </c>
    </row>
    <row r="848" spans="1:5" x14ac:dyDescent="0.3">
      <c r="A848" s="3">
        <f t="shared" si="56"/>
        <v>846</v>
      </c>
      <c r="B848" s="3">
        <f t="shared" ca="1" si="57"/>
        <v>1</v>
      </c>
      <c r="C848" s="3">
        <f t="shared" ca="1" si="57"/>
        <v>3</v>
      </c>
      <c r="D848" s="2">
        <f t="shared" ca="1" si="54"/>
        <v>4</v>
      </c>
      <c r="E848" s="2">
        <f t="shared" ca="1" si="55"/>
        <v>0</v>
      </c>
    </row>
    <row r="849" spans="1:5" x14ac:dyDescent="0.3">
      <c r="A849" s="3">
        <f t="shared" si="56"/>
        <v>847</v>
      </c>
      <c r="B849" s="3">
        <f t="shared" ca="1" si="57"/>
        <v>5</v>
      </c>
      <c r="C849" s="3">
        <f t="shared" ca="1" si="57"/>
        <v>4</v>
      </c>
      <c r="D849" s="2">
        <f t="shared" ca="1" si="54"/>
        <v>9</v>
      </c>
      <c r="E849" s="2">
        <f t="shared" ca="1" si="55"/>
        <v>1</v>
      </c>
    </row>
    <row r="850" spans="1:5" x14ac:dyDescent="0.3">
      <c r="A850" s="3">
        <f t="shared" si="56"/>
        <v>848</v>
      </c>
      <c r="B850" s="3">
        <f t="shared" ca="1" si="57"/>
        <v>6</v>
      </c>
      <c r="C850" s="3">
        <f t="shared" ca="1" si="57"/>
        <v>6</v>
      </c>
      <c r="D850" s="2">
        <f t="shared" ca="1" si="54"/>
        <v>12</v>
      </c>
      <c r="E850" s="2">
        <f t="shared" ca="1" si="55"/>
        <v>1</v>
      </c>
    </row>
    <row r="851" spans="1:5" x14ac:dyDescent="0.3">
      <c r="A851" s="3">
        <f t="shared" si="56"/>
        <v>849</v>
      </c>
      <c r="B851" s="3">
        <f t="shared" ca="1" si="57"/>
        <v>1</v>
      </c>
      <c r="C851" s="3">
        <f t="shared" ca="1" si="57"/>
        <v>6</v>
      </c>
      <c r="D851" s="2">
        <f t="shared" ca="1" si="54"/>
        <v>7</v>
      </c>
      <c r="E851" s="2">
        <f t="shared" ca="1" si="55"/>
        <v>0</v>
      </c>
    </row>
    <row r="852" spans="1:5" x14ac:dyDescent="0.3">
      <c r="A852" s="3">
        <f t="shared" si="56"/>
        <v>850</v>
      </c>
      <c r="B852" s="3">
        <f t="shared" ca="1" si="57"/>
        <v>5</v>
      </c>
      <c r="C852" s="3">
        <f t="shared" ca="1" si="57"/>
        <v>3</v>
      </c>
      <c r="D852" s="2">
        <f t="shared" ca="1" si="54"/>
        <v>8</v>
      </c>
      <c r="E852" s="2">
        <f t="shared" ca="1" si="55"/>
        <v>1</v>
      </c>
    </row>
    <row r="853" spans="1:5" x14ac:dyDescent="0.3">
      <c r="A853" s="3">
        <f t="shared" si="56"/>
        <v>851</v>
      </c>
      <c r="B853" s="3">
        <f t="shared" ca="1" si="57"/>
        <v>5</v>
      </c>
      <c r="C853" s="3">
        <f t="shared" ca="1" si="57"/>
        <v>4</v>
      </c>
      <c r="D853" s="2">
        <f t="shared" ca="1" si="54"/>
        <v>9</v>
      </c>
      <c r="E853" s="2">
        <f t="shared" ca="1" si="55"/>
        <v>1</v>
      </c>
    </row>
    <row r="854" spans="1:5" x14ac:dyDescent="0.3">
      <c r="A854" s="3">
        <f t="shared" si="56"/>
        <v>852</v>
      </c>
      <c r="B854" s="3">
        <f t="shared" ca="1" si="57"/>
        <v>1</v>
      </c>
      <c r="C854" s="3">
        <f t="shared" ca="1" si="57"/>
        <v>2</v>
      </c>
      <c r="D854" s="2">
        <f t="shared" ca="1" si="54"/>
        <v>3</v>
      </c>
      <c r="E854" s="2">
        <f t="shared" ca="1" si="55"/>
        <v>0</v>
      </c>
    </row>
    <row r="855" spans="1:5" x14ac:dyDescent="0.3">
      <c r="A855" s="3">
        <f t="shared" si="56"/>
        <v>853</v>
      </c>
      <c r="B855" s="3">
        <f t="shared" ca="1" si="57"/>
        <v>6</v>
      </c>
      <c r="C855" s="3">
        <f t="shared" ca="1" si="57"/>
        <v>2</v>
      </c>
      <c r="D855" s="2">
        <f t="shared" ca="1" si="54"/>
        <v>8</v>
      </c>
      <c r="E855" s="2">
        <f t="shared" ca="1" si="55"/>
        <v>1</v>
      </c>
    </row>
    <row r="856" spans="1:5" x14ac:dyDescent="0.3">
      <c r="A856" s="3">
        <f t="shared" si="56"/>
        <v>854</v>
      </c>
      <c r="B856" s="3">
        <f t="shared" ca="1" si="57"/>
        <v>2</v>
      </c>
      <c r="C856" s="3">
        <f t="shared" ca="1" si="57"/>
        <v>3</v>
      </c>
      <c r="D856" s="2">
        <f t="shared" ca="1" si="54"/>
        <v>5</v>
      </c>
      <c r="E856" s="2">
        <f t="shared" ca="1" si="55"/>
        <v>0</v>
      </c>
    </row>
    <row r="857" spans="1:5" x14ac:dyDescent="0.3">
      <c r="A857" s="3">
        <f t="shared" si="56"/>
        <v>855</v>
      </c>
      <c r="B857" s="3">
        <f t="shared" ca="1" si="57"/>
        <v>6</v>
      </c>
      <c r="C857" s="3">
        <f t="shared" ca="1" si="57"/>
        <v>4</v>
      </c>
      <c r="D857" s="2">
        <f t="shared" ca="1" si="54"/>
        <v>10</v>
      </c>
      <c r="E857" s="2">
        <f t="shared" ca="1" si="55"/>
        <v>1</v>
      </c>
    </row>
    <row r="858" spans="1:5" x14ac:dyDescent="0.3">
      <c r="A858" s="3">
        <f t="shared" si="56"/>
        <v>856</v>
      </c>
      <c r="B858" s="3">
        <f t="shared" ca="1" si="57"/>
        <v>3</v>
      </c>
      <c r="C858" s="3">
        <f t="shared" ca="1" si="57"/>
        <v>2</v>
      </c>
      <c r="D858" s="2">
        <f t="shared" ca="1" si="54"/>
        <v>5</v>
      </c>
      <c r="E858" s="2">
        <f t="shared" ca="1" si="55"/>
        <v>0</v>
      </c>
    </row>
    <row r="859" spans="1:5" x14ac:dyDescent="0.3">
      <c r="A859" s="3">
        <f t="shared" si="56"/>
        <v>857</v>
      </c>
      <c r="B859" s="3">
        <f t="shared" ca="1" si="57"/>
        <v>1</v>
      </c>
      <c r="C859" s="3">
        <f t="shared" ca="1" si="57"/>
        <v>5</v>
      </c>
      <c r="D859" s="2">
        <f t="shared" ca="1" si="54"/>
        <v>6</v>
      </c>
      <c r="E859" s="2">
        <f t="shared" ca="1" si="55"/>
        <v>0</v>
      </c>
    </row>
    <row r="860" spans="1:5" x14ac:dyDescent="0.3">
      <c r="A860" s="3">
        <f t="shared" si="56"/>
        <v>858</v>
      </c>
      <c r="B860" s="3">
        <f t="shared" ca="1" si="57"/>
        <v>5</v>
      </c>
      <c r="C860" s="3">
        <f t="shared" ca="1" si="57"/>
        <v>2</v>
      </c>
      <c r="D860" s="2">
        <f t="shared" ca="1" si="54"/>
        <v>7</v>
      </c>
      <c r="E860" s="2">
        <f t="shared" ca="1" si="55"/>
        <v>0</v>
      </c>
    </row>
    <row r="861" spans="1:5" x14ac:dyDescent="0.3">
      <c r="A861" s="3">
        <f t="shared" si="56"/>
        <v>859</v>
      </c>
      <c r="B861" s="3">
        <f t="shared" ca="1" si="57"/>
        <v>1</v>
      </c>
      <c r="C861" s="3">
        <f t="shared" ca="1" si="57"/>
        <v>1</v>
      </c>
      <c r="D861" s="2">
        <f t="shared" ca="1" si="54"/>
        <v>2</v>
      </c>
      <c r="E861" s="2">
        <f t="shared" ca="1" si="55"/>
        <v>0</v>
      </c>
    </row>
    <row r="862" spans="1:5" x14ac:dyDescent="0.3">
      <c r="A862" s="3">
        <f t="shared" si="56"/>
        <v>860</v>
      </c>
      <c r="B862" s="3">
        <f t="shared" ca="1" si="57"/>
        <v>5</v>
      </c>
      <c r="C862" s="3">
        <f t="shared" ca="1" si="57"/>
        <v>6</v>
      </c>
      <c r="D862" s="2">
        <f t="shared" ca="1" si="54"/>
        <v>11</v>
      </c>
      <c r="E862" s="2">
        <f t="shared" ca="1" si="55"/>
        <v>1</v>
      </c>
    </row>
    <row r="863" spans="1:5" x14ac:dyDescent="0.3">
      <c r="A863" s="3">
        <f t="shared" si="56"/>
        <v>861</v>
      </c>
      <c r="B863" s="3">
        <f t="shared" ca="1" si="57"/>
        <v>6</v>
      </c>
      <c r="C863" s="3">
        <f t="shared" ca="1" si="57"/>
        <v>1</v>
      </c>
      <c r="D863" s="2">
        <f t="shared" ca="1" si="54"/>
        <v>7</v>
      </c>
      <c r="E863" s="2">
        <f t="shared" ca="1" si="55"/>
        <v>0</v>
      </c>
    </row>
    <row r="864" spans="1:5" x14ac:dyDescent="0.3">
      <c r="A864" s="3">
        <f t="shared" si="56"/>
        <v>862</v>
      </c>
      <c r="B864" s="3">
        <f t="shared" ca="1" si="57"/>
        <v>6</v>
      </c>
      <c r="C864" s="3">
        <f t="shared" ca="1" si="57"/>
        <v>3</v>
      </c>
      <c r="D864" s="2">
        <f t="shared" ca="1" si="54"/>
        <v>9</v>
      </c>
      <c r="E864" s="2">
        <f t="shared" ca="1" si="55"/>
        <v>1</v>
      </c>
    </row>
    <row r="865" spans="1:5" x14ac:dyDescent="0.3">
      <c r="A865" s="3">
        <f t="shared" si="56"/>
        <v>863</v>
      </c>
      <c r="B865" s="3">
        <f t="shared" ca="1" si="57"/>
        <v>2</v>
      </c>
      <c r="C865" s="3">
        <f t="shared" ca="1" si="57"/>
        <v>3</v>
      </c>
      <c r="D865" s="2">
        <f t="shared" ca="1" si="54"/>
        <v>5</v>
      </c>
      <c r="E865" s="2">
        <f t="shared" ca="1" si="55"/>
        <v>0</v>
      </c>
    </row>
    <row r="866" spans="1:5" x14ac:dyDescent="0.3">
      <c r="A866" s="3">
        <f t="shared" si="56"/>
        <v>864</v>
      </c>
      <c r="B866" s="3">
        <f t="shared" ca="1" si="57"/>
        <v>1</v>
      </c>
      <c r="C866" s="3">
        <f t="shared" ca="1" si="57"/>
        <v>6</v>
      </c>
      <c r="D866" s="2">
        <f t="shared" ca="1" si="54"/>
        <v>7</v>
      </c>
      <c r="E866" s="2">
        <f t="shared" ca="1" si="55"/>
        <v>0</v>
      </c>
    </row>
    <row r="867" spans="1:5" x14ac:dyDescent="0.3">
      <c r="A867" s="3">
        <f t="shared" si="56"/>
        <v>865</v>
      </c>
      <c r="B867" s="3">
        <f t="shared" ca="1" si="57"/>
        <v>6</v>
      </c>
      <c r="C867" s="3">
        <f t="shared" ca="1" si="57"/>
        <v>3</v>
      </c>
      <c r="D867" s="2">
        <f t="shared" ca="1" si="54"/>
        <v>9</v>
      </c>
      <c r="E867" s="2">
        <f t="shared" ca="1" si="55"/>
        <v>1</v>
      </c>
    </row>
    <row r="868" spans="1:5" x14ac:dyDescent="0.3">
      <c r="A868" s="3">
        <f t="shared" si="56"/>
        <v>866</v>
      </c>
      <c r="B868" s="3">
        <f t="shared" ca="1" si="57"/>
        <v>1</v>
      </c>
      <c r="C868" s="3">
        <f t="shared" ca="1" si="57"/>
        <v>6</v>
      </c>
      <c r="D868" s="2">
        <f t="shared" ca="1" si="54"/>
        <v>7</v>
      </c>
      <c r="E868" s="2">
        <f t="shared" ca="1" si="55"/>
        <v>0</v>
      </c>
    </row>
    <row r="869" spans="1:5" x14ac:dyDescent="0.3">
      <c r="A869" s="3">
        <f t="shared" si="56"/>
        <v>867</v>
      </c>
      <c r="B869" s="3">
        <f t="shared" ref="B869:C900" ca="1" si="58">RANDBETWEEN(1,6)</f>
        <v>3</v>
      </c>
      <c r="C869" s="3">
        <f t="shared" ca="1" si="58"/>
        <v>6</v>
      </c>
      <c r="D869" s="2">
        <f t="shared" ca="1" si="54"/>
        <v>9</v>
      </c>
      <c r="E869" s="2">
        <f t="shared" ca="1" si="55"/>
        <v>1</v>
      </c>
    </row>
    <row r="870" spans="1:5" x14ac:dyDescent="0.3">
      <c r="A870" s="3">
        <f t="shared" si="56"/>
        <v>868</v>
      </c>
      <c r="B870" s="3">
        <f t="shared" ca="1" si="58"/>
        <v>1</v>
      </c>
      <c r="C870" s="3">
        <f t="shared" ca="1" si="58"/>
        <v>6</v>
      </c>
      <c r="D870" s="2">
        <f t="shared" ca="1" si="54"/>
        <v>7</v>
      </c>
      <c r="E870" s="2">
        <f t="shared" ca="1" si="55"/>
        <v>0</v>
      </c>
    </row>
    <row r="871" spans="1:5" x14ac:dyDescent="0.3">
      <c r="A871" s="3">
        <f t="shared" si="56"/>
        <v>869</v>
      </c>
      <c r="B871" s="3">
        <f t="shared" ca="1" si="58"/>
        <v>4</v>
      </c>
      <c r="C871" s="3">
        <f t="shared" ca="1" si="58"/>
        <v>1</v>
      </c>
      <c r="D871" s="2">
        <f t="shared" ca="1" si="54"/>
        <v>5</v>
      </c>
      <c r="E871" s="2">
        <f t="shared" ca="1" si="55"/>
        <v>0</v>
      </c>
    </row>
    <row r="872" spans="1:5" x14ac:dyDescent="0.3">
      <c r="A872" s="3">
        <f t="shared" si="56"/>
        <v>870</v>
      </c>
      <c r="B872" s="3">
        <f t="shared" ca="1" si="58"/>
        <v>1</v>
      </c>
      <c r="C872" s="3">
        <f t="shared" ca="1" si="58"/>
        <v>5</v>
      </c>
      <c r="D872" s="2">
        <f t="shared" ca="1" si="54"/>
        <v>6</v>
      </c>
      <c r="E872" s="2">
        <f t="shared" ca="1" si="55"/>
        <v>0</v>
      </c>
    </row>
    <row r="873" spans="1:5" x14ac:dyDescent="0.3">
      <c r="A873" s="3">
        <f t="shared" si="56"/>
        <v>871</v>
      </c>
      <c r="B873" s="3">
        <f t="shared" ca="1" si="58"/>
        <v>3</v>
      </c>
      <c r="C873" s="3">
        <f t="shared" ca="1" si="58"/>
        <v>1</v>
      </c>
      <c r="D873" s="2">
        <f t="shared" ca="1" si="54"/>
        <v>4</v>
      </c>
      <c r="E873" s="2">
        <f t="shared" ca="1" si="55"/>
        <v>0</v>
      </c>
    </row>
    <row r="874" spans="1:5" x14ac:dyDescent="0.3">
      <c r="A874" s="3">
        <f t="shared" si="56"/>
        <v>872</v>
      </c>
      <c r="B874" s="3">
        <f t="shared" ca="1" si="58"/>
        <v>1</v>
      </c>
      <c r="C874" s="3">
        <f t="shared" ca="1" si="58"/>
        <v>4</v>
      </c>
      <c r="D874" s="2">
        <f t="shared" ca="1" si="54"/>
        <v>5</v>
      </c>
      <c r="E874" s="2">
        <f t="shared" ca="1" si="55"/>
        <v>0</v>
      </c>
    </row>
    <row r="875" spans="1:5" x14ac:dyDescent="0.3">
      <c r="A875" s="3">
        <f t="shared" si="56"/>
        <v>873</v>
      </c>
      <c r="B875" s="3">
        <f t="shared" ca="1" si="58"/>
        <v>3</v>
      </c>
      <c r="C875" s="3">
        <f t="shared" ca="1" si="58"/>
        <v>5</v>
      </c>
      <c r="D875" s="2">
        <f t="shared" ca="1" si="54"/>
        <v>8</v>
      </c>
      <c r="E875" s="2">
        <f t="shared" ca="1" si="55"/>
        <v>1</v>
      </c>
    </row>
    <row r="876" spans="1:5" x14ac:dyDescent="0.3">
      <c r="A876" s="3">
        <f t="shared" si="56"/>
        <v>874</v>
      </c>
      <c r="B876" s="3">
        <f t="shared" ca="1" si="58"/>
        <v>4</v>
      </c>
      <c r="C876" s="3">
        <f t="shared" ca="1" si="58"/>
        <v>4</v>
      </c>
      <c r="D876" s="2">
        <f t="shared" ca="1" si="54"/>
        <v>8</v>
      </c>
      <c r="E876" s="2">
        <f t="shared" ca="1" si="55"/>
        <v>1</v>
      </c>
    </row>
    <row r="877" spans="1:5" x14ac:dyDescent="0.3">
      <c r="A877" s="3">
        <f t="shared" si="56"/>
        <v>875</v>
      </c>
      <c r="B877" s="3">
        <f t="shared" ca="1" si="58"/>
        <v>2</v>
      </c>
      <c r="C877" s="3">
        <f t="shared" ca="1" si="58"/>
        <v>5</v>
      </c>
      <c r="D877" s="2">
        <f t="shared" ca="1" si="54"/>
        <v>7</v>
      </c>
      <c r="E877" s="2">
        <f t="shared" ca="1" si="55"/>
        <v>0</v>
      </c>
    </row>
    <row r="878" spans="1:5" x14ac:dyDescent="0.3">
      <c r="A878" s="3">
        <f t="shared" si="56"/>
        <v>876</v>
      </c>
      <c r="B878" s="3">
        <f t="shared" ca="1" si="58"/>
        <v>6</v>
      </c>
      <c r="C878" s="3">
        <f t="shared" ca="1" si="58"/>
        <v>6</v>
      </c>
      <c r="D878" s="2">
        <f t="shared" ca="1" si="54"/>
        <v>12</v>
      </c>
      <c r="E878" s="2">
        <f t="shared" ca="1" si="55"/>
        <v>1</v>
      </c>
    </row>
    <row r="879" spans="1:5" x14ac:dyDescent="0.3">
      <c r="A879" s="3">
        <f t="shared" si="56"/>
        <v>877</v>
      </c>
      <c r="B879" s="3">
        <f t="shared" ca="1" si="58"/>
        <v>5</v>
      </c>
      <c r="C879" s="3">
        <f t="shared" ca="1" si="58"/>
        <v>6</v>
      </c>
      <c r="D879" s="2">
        <f t="shared" ca="1" si="54"/>
        <v>11</v>
      </c>
      <c r="E879" s="2">
        <f t="shared" ca="1" si="55"/>
        <v>1</v>
      </c>
    </row>
    <row r="880" spans="1:5" x14ac:dyDescent="0.3">
      <c r="A880" s="3">
        <f t="shared" si="56"/>
        <v>878</v>
      </c>
      <c r="B880" s="3">
        <f t="shared" ca="1" si="58"/>
        <v>5</v>
      </c>
      <c r="C880" s="3">
        <f t="shared" ca="1" si="58"/>
        <v>4</v>
      </c>
      <c r="D880" s="2">
        <f t="shared" ca="1" si="54"/>
        <v>9</v>
      </c>
      <c r="E880" s="2">
        <f t="shared" ca="1" si="55"/>
        <v>1</v>
      </c>
    </row>
    <row r="881" spans="1:5" x14ac:dyDescent="0.3">
      <c r="A881" s="3">
        <f t="shared" si="56"/>
        <v>879</v>
      </c>
      <c r="B881" s="3">
        <f t="shared" ca="1" si="58"/>
        <v>6</v>
      </c>
      <c r="C881" s="3">
        <f t="shared" ca="1" si="58"/>
        <v>4</v>
      </c>
      <c r="D881" s="2">
        <f t="shared" ca="1" si="54"/>
        <v>10</v>
      </c>
      <c r="E881" s="2">
        <f t="shared" ca="1" si="55"/>
        <v>1</v>
      </c>
    </row>
    <row r="882" spans="1:5" x14ac:dyDescent="0.3">
      <c r="A882" s="3">
        <f t="shared" si="56"/>
        <v>880</v>
      </c>
      <c r="B882" s="3">
        <f t="shared" ca="1" si="58"/>
        <v>3</v>
      </c>
      <c r="C882" s="3">
        <f t="shared" ca="1" si="58"/>
        <v>2</v>
      </c>
      <c r="D882" s="2">
        <f t="shared" ca="1" si="54"/>
        <v>5</v>
      </c>
      <c r="E882" s="2">
        <f t="shared" ca="1" si="55"/>
        <v>0</v>
      </c>
    </row>
    <row r="883" spans="1:5" x14ac:dyDescent="0.3">
      <c r="A883" s="3">
        <f t="shared" si="56"/>
        <v>881</v>
      </c>
      <c r="B883" s="3">
        <f t="shared" ca="1" si="58"/>
        <v>5</v>
      </c>
      <c r="C883" s="3">
        <f t="shared" ca="1" si="58"/>
        <v>1</v>
      </c>
      <c r="D883" s="2">
        <f t="shared" ca="1" si="54"/>
        <v>6</v>
      </c>
      <c r="E883" s="2">
        <f t="shared" ca="1" si="55"/>
        <v>0</v>
      </c>
    </row>
    <row r="884" spans="1:5" x14ac:dyDescent="0.3">
      <c r="A884" s="3">
        <f t="shared" si="56"/>
        <v>882</v>
      </c>
      <c r="B884" s="3">
        <f t="shared" ca="1" si="58"/>
        <v>1</v>
      </c>
      <c r="C884" s="3">
        <f t="shared" ca="1" si="58"/>
        <v>3</v>
      </c>
      <c r="D884" s="2">
        <f t="shared" ca="1" si="54"/>
        <v>4</v>
      </c>
      <c r="E884" s="2">
        <f t="shared" ca="1" si="55"/>
        <v>0</v>
      </c>
    </row>
    <row r="885" spans="1:5" x14ac:dyDescent="0.3">
      <c r="A885" s="3">
        <f t="shared" si="56"/>
        <v>883</v>
      </c>
      <c r="B885" s="3">
        <f t="shared" ca="1" si="58"/>
        <v>4</v>
      </c>
      <c r="C885" s="3">
        <f t="shared" ca="1" si="58"/>
        <v>2</v>
      </c>
      <c r="D885" s="2">
        <f t="shared" ca="1" si="54"/>
        <v>6</v>
      </c>
      <c r="E885" s="2">
        <f t="shared" ca="1" si="55"/>
        <v>0</v>
      </c>
    </row>
    <row r="886" spans="1:5" x14ac:dyDescent="0.3">
      <c r="A886" s="3">
        <f t="shared" si="56"/>
        <v>884</v>
      </c>
      <c r="B886" s="3">
        <f t="shared" ca="1" si="58"/>
        <v>4</v>
      </c>
      <c r="C886" s="3">
        <f t="shared" ca="1" si="58"/>
        <v>1</v>
      </c>
      <c r="D886" s="2">
        <f t="shared" ca="1" si="54"/>
        <v>5</v>
      </c>
      <c r="E886" s="2">
        <f t="shared" ca="1" si="55"/>
        <v>0</v>
      </c>
    </row>
    <row r="887" spans="1:5" x14ac:dyDescent="0.3">
      <c r="A887" s="3">
        <f t="shared" si="56"/>
        <v>885</v>
      </c>
      <c r="B887" s="3">
        <f t="shared" ca="1" si="58"/>
        <v>1</v>
      </c>
      <c r="C887" s="3">
        <f t="shared" ca="1" si="58"/>
        <v>1</v>
      </c>
      <c r="D887" s="2">
        <f t="shared" ca="1" si="54"/>
        <v>2</v>
      </c>
      <c r="E887" s="2">
        <f t="shared" ca="1" si="55"/>
        <v>0</v>
      </c>
    </row>
    <row r="888" spans="1:5" x14ac:dyDescent="0.3">
      <c r="A888" s="3">
        <f t="shared" si="56"/>
        <v>886</v>
      </c>
      <c r="B888" s="3">
        <f t="shared" ca="1" si="58"/>
        <v>6</v>
      </c>
      <c r="C888" s="3">
        <f t="shared" ca="1" si="58"/>
        <v>6</v>
      </c>
      <c r="D888" s="2">
        <f t="shared" ca="1" si="54"/>
        <v>12</v>
      </c>
      <c r="E888" s="2">
        <f t="shared" ca="1" si="55"/>
        <v>1</v>
      </c>
    </row>
    <row r="889" spans="1:5" x14ac:dyDescent="0.3">
      <c r="A889" s="3">
        <f t="shared" si="56"/>
        <v>887</v>
      </c>
      <c r="B889" s="3">
        <f t="shared" ca="1" si="58"/>
        <v>2</v>
      </c>
      <c r="C889" s="3">
        <f t="shared" ca="1" si="58"/>
        <v>1</v>
      </c>
      <c r="D889" s="2">
        <f t="shared" ca="1" si="54"/>
        <v>3</v>
      </c>
      <c r="E889" s="2">
        <f t="shared" ca="1" si="55"/>
        <v>0</v>
      </c>
    </row>
    <row r="890" spans="1:5" x14ac:dyDescent="0.3">
      <c r="A890" s="3">
        <f t="shared" si="56"/>
        <v>888</v>
      </c>
      <c r="B890" s="3">
        <f t="shared" ca="1" si="58"/>
        <v>6</v>
      </c>
      <c r="C890" s="3">
        <f t="shared" ca="1" si="58"/>
        <v>5</v>
      </c>
      <c r="D890" s="2">
        <f t="shared" ca="1" si="54"/>
        <v>11</v>
      </c>
      <c r="E890" s="2">
        <f t="shared" ca="1" si="55"/>
        <v>1</v>
      </c>
    </row>
    <row r="891" spans="1:5" x14ac:dyDescent="0.3">
      <c r="A891" s="3">
        <f t="shared" si="56"/>
        <v>889</v>
      </c>
      <c r="B891" s="3">
        <f t="shared" ca="1" si="58"/>
        <v>6</v>
      </c>
      <c r="C891" s="3">
        <f t="shared" ca="1" si="58"/>
        <v>5</v>
      </c>
      <c r="D891" s="2">
        <f t="shared" ca="1" si="54"/>
        <v>11</v>
      </c>
      <c r="E891" s="2">
        <f t="shared" ca="1" si="55"/>
        <v>1</v>
      </c>
    </row>
    <row r="892" spans="1:5" x14ac:dyDescent="0.3">
      <c r="A892" s="3">
        <f t="shared" si="56"/>
        <v>890</v>
      </c>
      <c r="B892" s="3">
        <f t="shared" ca="1" si="58"/>
        <v>4</v>
      </c>
      <c r="C892" s="3">
        <f t="shared" ca="1" si="58"/>
        <v>2</v>
      </c>
      <c r="D892" s="2">
        <f t="shared" ca="1" si="54"/>
        <v>6</v>
      </c>
      <c r="E892" s="2">
        <f t="shared" ca="1" si="55"/>
        <v>0</v>
      </c>
    </row>
    <row r="893" spans="1:5" x14ac:dyDescent="0.3">
      <c r="A893" s="3">
        <f t="shared" si="56"/>
        <v>891</v>
      </c>
      <c r="B893" s="3">
        <f t="shared" ca="1" si="58"/>
        <v>1</v>
      </c>
      <c r="C893" s="3">
        <f t="shared" ca="1" si="58"/>
        <v>5</v>
      </c>
      <c r="D893" s="2">
        <f t="shared" ca="1" si="54"/>
        <v>6</v>
      </c>
      <c r="E893" s="2">
        <f t="shared" ca="1" si="55"/>
        <v>0</v>
      </c>
    </row>
    <row r="894" spans="1:5" x14ac:dyDescent="0.3">
      <c r="A894" s="3">
        <f t="shared" si="56"/>
        <v>892</v>
      </c>
      <c r="B894" s="3">
        <f t="shared" ca="1" si="58"/>
        <v>1</v>
      </c>
      <c r="C894" s="3">
        <f t="shared" ca="1" si="58"/>
        <v>3</v>
      </c>
      <c r="D894" s="2">
        <f t="shared" ca="1" si="54"/>
        <v>4</v>
      </c>
      <c r="E894" s="2">
        <f t="shared" ca="1" si="55"/>
        <v>0</v>
      </c>
    </row>
    <row r="895" spans="1:5" x14ac:dyDescent="0.3">
      <c r="A895" s="3">
        <f t="shared" si="56"/>
        <v>893</v>
      </c>
      <c r="B895" s="3">
        <f t="shared" ca="1" si="58"/>
        <v>6</v>
      </c>
      <c r="C895" s="3">
        <f t="shared" ca="1" si="58"/>
        <v>1</v>
      </c>
      <c r="D895" s="2">
        <f t="shared" ca="1" si="54"/>
        <v>7</v>
      </c>
      <c r="E895" s="2">
        <f t="shared" ca="1" si="55"/>
        <v>0</v>
      </c>
    </row>
    <row r="896" spans="1:5" x14ac:dyDescent="0.3">
      <c r="A896" s="3">
        <f t="shared" si="56"/>
        <v>894</v>
      </c>
      <c r="B896" s="3">
        <f t="shared" ca="1" si="58"/>
        <v>4</v>
      </c>
      <c r="C896" s="3">
        <f t="shared" ca="1" si="58"/>
        <v>4</v>
      </c>
      <c r="D896" s="2">
        <f t="shared" ca="1" si="54"/>
        <v>8</v>
      </c>
      <c r="E896" s="2">
        <f t="shared" ca="1" si="55"/>
        <v>1</v>
      </c>
    </row>
    <row r="897" spans="1:5" x14ac:dyDescent="0.3">
      <c r="A897" s="3">
        <f t="shared" si="56"/>
        <v>895</v>
      </c>
      <c r="B897" s="3">
        <f t="shared" ca="1" si="58"/>
        <v>3</v>
      </c>
      <c r="C897" s="3">
        <f t="shared" ca="1" si="58"/>
        <v>2</v>
      </c>
      <c r="D897" s="2">
        <f t="shared" ca="1" si="54"/>
        <v>5</v>
      </c>
      <c r="E897" s="2">
        <f t="shared" ca="1" si="55"/>
        <v>0</v>
      </c>
    </row>
    <row r="898" spans="1:5" x14ac:dyDescent="0.3">
      <c r="A898" s="3">
        <f t="shared" si="56"/>
        <v>896</v>
      </c>
      <c r="B898" s="3">
        <f t="shared" ca="1" si="58"/>
        <v>4</v>
      </c>
      <c r="C898" s="3">
        <f t="shared" ca="1" si="58"/>
        <v>5</v>
      </c>
      <c r="D898" s="2">
        <f t="shared" ca="1" si="54"/>
        <v>9</v>
      </c>
      <c r="E898" s="2">
        <f t="shared" ca="1" si="55"/>
        <v>1</v>
      </c>
    </row>
    <row r="899" spans="1:5" x14ac:dyDescent="0.3">
      <c r="A899" s="3">
        <f t="shared" si="56"/>
        <v>897</v>
      </c>
      <c r="B899" s="3">
        <f t="shared" ca="1" si="58"/>
        <v>1</v>
      </c>
      <c r="C899" s="3">
        <f t="shared" ca="1" si="58"/>
        <v>1</v>
      </c>
      <c r="D899" s="2">
        <f t="shared" ca="1" si="54"/>
        <v>2</v>
      </c>
      <c r="E899" s="2">
        <f t="shared" ca="1" si="55"/>
        <v>0</v>
      </c>
    </row>
    <row r="900" spans="1:5" x14ac:dyDescent="0.3">
      <c r="A900" s="3">
        <f t="shared" si="56"/>
        <v>898</v>
      </c>
      <c r="B900" s="3">
        <f t="shared" ca="1" si="58"/>
        <v>2</v>
      </c>
      <c r="C900" s="3">
        <f t="shared" ca="1" si="58"/>
        <v>5</v>
      </c>
      <c r="D900" s="2">
        <f t="shared" ref="D900:D963" ca="1" si="59">C900+B900</f>
        <v>7</v>
      </c>
      <c r="E900" s="2">
        <f t="shared" ref="E900:E963" ca="1" si="60">IF(D900&gt;=8,1,0)</f>
        <v>0</v>
      </c>
    </row>
    <row r="901" spans="1:5" x14ac:dyDescent="0.3">
      <c r="A901" s="3">
        <f t="shared" ref="A901:A964" si="61">A900+1</f>
        <v>899</v>
      </c>
      <c r="B901" s="3">
        <f t="shared" ref="B901:C932" ca="1" si="62">RANDBETWEEN(1,6)</f>
        <v>6</v>
      </c>
      <c r="C901" s="3">
        <f t="shared" ca="1" si="62"/>
        <v>3</v>
      </c>
      <c r="D901" s="2">
        <f t="shared" ca="1" si="59"/>
        <v>9</v>
      </c>
      <c r="E901" s="2">
        <f t="shared" ca="1" si="60"/>
        <v>1</v>
      </c>
    </row>
    <row r="902" spans="1:5" x14ac:dyDescent="0.3">
      <c r="A902" s="3">
        <f t="shared" si="61"/>
        <v>900</v>
      </c>
      <c r="B902" s="3">
        <f t="shared" ca="1" si="62"/>
        <v>5</v>
      </c>
      <c r="C902" s="3">
        <f t="shared" ca="1" si="62"/>
        <v>3</v>
      </c>
      <c r="D902" s="2">
        <f t="shared" ca="1" si="59"/>
        <v>8</v>
      </c>
      <c r="E902" s="2">
        <f t="shared" ca="1" si="60"/>
        <v>1</v>
      </c>
    </row>
    <row r="903" spans="1:5" x14ac:dyDescent="0.3">
      <c r="A903" s="3">
        <f t="shared" si="61"/>
        <v>901</v>
      </c>
      <c r="B903" s="3">
        <f t="shared" ca="1" si="62"/>
        <v>6</v>
      </c>
      <c r="C903" s="3">
        <f t="shared" ca="1" si="62"/>
        <v>6</v>
      </c>
      <c r="D903" s="2">
        <f t="shared" ca="1" si="59"/>
        <v>12</v>
      </c>
      <c r="E903" s="2">
        <f t="shared" ca="1" si="60"/>
        <v>1</v>
      </c>
    </row>
    <row r="904" spans="1:5" x14ac:dyDescent="0.3">
      <c r="A904" s="3">
        <f t="shared" si="61"/>
        <v>902</v>
      </c>
      <c r="B904" s="3">
        <f t="shared" ca="1" si="62"/>
        <v>4</v>
      </c>
      <c r="C904" s="3">
        <f t="shared" ca="1" si="62"/>
        <v>1</v>
      </c>
      <c r="D904" s="2">
        <f t="shared" ca="1" si="59"/>
        <v>5</v>
      </c>
      <c r="E904" s="2">
        <f t="shared" ca="1" si="60"/>
        <v>0</v>
      </c>
    </row>
    <row r="905" spans="1:5" x14ac:dyDescent="0.3">
      <c r="A905" s="3">
        <f t="shared" si="61"/>
        <v>903</v>
      </c>
      <c r="B905" s="3">
        <f t="shared" ca="1" si="62"/>
        <v>3</v>
      </c>
      <c r="C905" s="3">
        <f t="shared" ca="1" si="62"/>
        <v>4</v>
      </c>
      <c r="D905" s="2">
        <f t="shared" ca="1" si="59"/>
        <v>7</v>
      </c>
      <c r="E905" s="2">
        <f t="shared" ca="1" si="60"/>
        <v>0</v>
      </c>
    </row>
    <row r="906" spans="1:5" x14ac:dyDescent="0.3">
      <c r="A906" s="3">
        <f t="shared" si="61"/>
        <v>904</v>
      </c>
      <c r="B906" s="3">
        <f t="shared" ca="1" si="62"/>
        <v>6</v>
      </c>
      <c r="C906" s="3">
        <f t="shared" ca="1" si="62"/>
        <v>3</v>
      </c>
      <c r="D906" s="2">
        <f t="shared" ca="1" si="59"/>
        <v>9</v>
      </c>
      <c r="E906" s="2">
        <f t="shared" ca="1" si="60"/>
        <v>1</v>
      </c>
    </row>
    <row r="907" spans="1:5" x14ac:dyDescent="0.3">
      <c r="A907" s="3">
        <f t="shared" si="61"/>
        <v>905</v>
      </c>
      <c r="B907" s="3">
        <f t="shared" ca="1" si="62"/>
        <v>1</v>
      </c>
      <c r="C907" s="3">
        <f t="shared" ca="1" si="62"/>
        <v>6</v>
      </c>
      <c r="D907" s="2">
        <f t="shared" ca="1" si="59"/>
        <v>7</v>
      </c>
      <c r="E907" s="2">
        <f t="shared" ca="1" si="60"/>
        <v>0</v>
      </c>
    </row>
    <row r="908" spans="1:5" x14ac:dyDescent="0.3">
      <c r="A908" s="3">
        <f t="shared" si="61"/>
        <v>906</v>
      </c>
      <c r="B908" s="3">
        <f t="shared" ca="1" si="62"/>
        <v>3</v>
      </c>
      <c r="C908" s="3">
        <f t="shared" ca="1" si="62"/>
        <v>6</v>
      </c>
      <c r="D908" s="2">
        <f t="shared" ca="1" si="59"/>
        <v>9</v>
      </c>
      <c r="E908" s="2">
        <f t="shared" ca="1" si="60"/>
        <v>1</v>
      </c>
    </row>
    <row r="909" spans="1:5" x14ac:dyDescent="0.3">
      <c r="A909" s="3">
        <f t="shared" si="61"/>
        <v>907</v>
      </c>
      <c r="B909" s="3">
        <f t="shared" ca="1" si="62"/>
        <v>3</v>
      </c>
      <c r="C909" s="3">
        <f t="shared" ca="1" si="62"/>
        <v>2</v>
      </c>
      <c r="D909" s="2">
        <f t="shared" ca="1" si="59"/>
        <v>5</v>
      </c>
      <c r="E909" s="2">
        <f t="shared" ca="1" si="60"/>
        <v>0</v>
      </c>
    </row>
    <row r="910" spans="1:5" x14ac:dyDescent="0.3">
      <c r="A910" s="3">
        <f t="shared" si="61"/>
        <v>908</v>
      </c>
      <c r="B910" s="3">
        <f t="shared" ca="1" si="62"/>
        <v>6</v>
      </c>
      <c r="C910" s="3">
        <f t="shared" ca="1" si="62"/>
        <v>2</v>
      </c>
      <c r="D910" s="2">
        <f t="shared" ca="1" si="59"/>
        <v>8</v>
      </c>
      <c r="E910" s="2">
        <f t="shared" ca="1" si="60"/>
        <v>1</v>
      </c>
    </row>
    <row r="911" spans="1:5" x14ac:dyDescent="0.3">
      <c r="A911" s="3">
        <f t="shared" si="61"/>
        <v>909</v>
      </c>
      <c r="B911" s="3">
        <f t="shared" ca="1" si="62"/>
        <v>3</v>
      </c>
      <c r="C911" s="3">
        <f t="shared" ca="1" si="62"/>
        <v>1</v>
      </c>
      <c r="D911" s="2">
        <f t="shared" ca="1" si="59"/>
        <v>4</v>
      </c>
      <c r="E911" s="2">
        <f t="shared" ca="1" si="60"/>
        <v>0</v>
      </c>
    </row>
    <row r="912" spans="1:5" x14ac:dyDescent="0.3">
      <c r="A912" s="3">
        <f t="shared" si="61"/>
        <v>910</v>
      </c>
      <c r="B912" s="3">
        <f t="shared" ca="1" si="62"/>
        <v>3</v>
      </c>
      <c r="C912" s="3">
        <f t="shared" ca="1" si="62"/>
        <v>5</v>
      </c>
      <c r="D912" s="2">
        <f t="shared" ca="1" si="59"/>
        <v>8</v>
      </c>
      <c r="E912" s="2">
        <f t="shared" ca="1" si="60"/>
        <v>1</v>
      </c>
    </row>
    <row r="913" spans="1:5" x14ac:dyDescent="0.3">
      <c r="A913" s="3">
        <f t="shared" si="61"/>
        <v>911</v>
      </c>
      <c r="B913" s="3">
        <f t="shared" ca="1" si="62"/>
        <v>2</v>
      </c>
      <c r="C913" s="3">
        <f t="shared" ca="1" si="62"/>
        <v>3</v>
      </c>
      <c r="D913" s="2">
        <f t="shared" ca="1" si="59"/>
        <v>5</v>
      </c>
      <c r="E913" s="2">
        <f t="shared" ca="1" si="60"/>
        <v>0</v>
      </c>
    </row>
    <row r="914" spans="1:5" x14ac:dyDescent="0.3">
      <c r="A914" s="3">
        <f t="shared" si="61"/>
        <v>912</v>
      </c>
      <c r="B914" s="3">
        <f t="shared" ca="1" si="62"/>
        <v>1</v>
      </c>
      <c r="C914" s="3">
        <f t="shared" ca="1" si="62"/>
        <v>6</v>
      </c>
      <c r="D914" s="2">
        <f t="shared" ca="1" si="59"/>
        <v>7</v>
      </c>
      <c r="E914" s="2">
        <f t="shared" ca="1" si="60"/>
        <v>0</v>
      </c>
    </row>
    <row r="915" spans="1:5" x14ac:dyDescent="0.3">
      <c r="A915" s="3">
        <f t="shared" si="61"/>
        <v>913</v>
      </c>
      <c r="B915" s="3">
        <f t="shared" ca="1" si="62"/>
        <v>2</v>
      </c>
      <c r="C915" s="3">
        <f t="shared" ca="1" si="62"/>
        <v>1</v>
      </c>
      <c r="D915" s="2">
        <f t="shared" ca="1" si="59"/>
        <v>3</v>
      </c>
      <c r="E915" s="2">
        <f t="shared" ca="1" si="60"/>
        <v>0</v>
      </c>
    </row>
    <row r="916" spans="1:5" x14ac:dyDescent="0.3">
      <c r="A916" s="3">
        <f t="shared" si="61"/>
        <v>914</v>
      </c>
      <c r="B916" s="3">
        <f t="shared" ca="1" si="62"/>
        <v>2</v>
      </c>
      <c r="C916" s="3">
        <f t="shared" ca="1" si="62"/>
        <v>2</v>
      </c>
      <c r="D916" s="2">
        <f t="shared" ca="1" si="59"/>
        <v>4</v>
      </c>
      <c r="E916" s="2">
        <f t="shared" ca="1" si="60"/>
        <v>0</v>
      </c>
    </row>
    <row r="917" spans="1:5" x14ac:dyDescent="0.3">
      <c r="A917" s="3">
        <f t="shared" si="61"/>
        <v>915</v>
      </c>
      <c r="B917" s="3">
        <f t="shared" ca="1" si="62"/>
        <v>2</v>
      </c>
      <c r="C917" s="3">
        <f t="shared" ca="1" si="62"/>
        <v>4</v>
      </c>
      <c r="D917" s="2">
        <f t="shared" ca="1" si="59"/>
        <v>6</v>
      </c>
      <c r="E917" s="2">
        <f t="shared" ca="1" si="60"/>
        <v>0</v>
      </c>
    </row>
    <row r="918" spans="1:5" x14ac:dyDescent="0.3">
      <c r="A918" s="3">
        <f t="shared" si="61"/>
        <v>916</v>
      </c>
      <c r="B918" s="3">
        <f t="shared" ca="1" si="62"/>
        <v>1</v>
      </c>
      <c r="C918" s="3">
        <f t="shared" ca="1" si="62"/>
        <v>6</v>
      </c>
      <c r="D918" s="2">
        <f t="shared" ca="1" si="59"/>
        <v>7</v>
      </c>
      <c r="E918" s="2">
        <f t="shared" ca="1" si="60"/>
        <v>0</v>
      </c>
    </row>
    <row r="919" spans="1:5" x14ac:dyDescent="0.3">
      <c r="A919" s="3">
        <f t="shared" si="61"/>
        <v>917</v>
      </c>
      <c r="B919" s="3">
        <f t="shared" ca="1" si="62"/>
        <v>1</v>
      </c>
      <c r="C919" s="3">
        <f t="shared" ca="1" si="62"/>
        <v>6</v>
      </c>
      <c r="D919" s="2">
        <f t="shared" ca="1" si="59"/>
        <v>7</v>
      </c>
      <c r="E919" s="2">
        <f t="shared" ca="1" si="60"/>
        <v>0</v>
      </c>
    </row>
    <row r="920" spans="1:5" x14ac:dyDescent="0.3">
      <c r="A920" s="3">
        <f t="shared" si="61"/>
        <v>918</v>
      </c>
      <c r="B920" s="3">
        <f t="shared" ca="1" si="62"/>
        <v>1</v>
      </c>
      <c r="C920" s="3">
        <f t="shared" ca="1" si="62"/>
        <v>4</v>
      </c>
      <c r="D920" s="2">
        <f t="shared" ca="1" si="59"/>
        <v>5</v>
      </c>
      <c r="E920" s="2">
        <f t="shared" ca="1" si="60"/>
        <v>0</v>
      </c>
    </row>
    <row r="921" spans="1:5" x14ac:dyDescent="0.3">
      <c r="A921" s="3">
        <f t="shared" si="61"/>
        <v>919</v>
      </c>
      <c r="B921" s="3">
        <f t="shared" ca="1" si="62"/>
        <v>1</v>
      </c>
      <c r="C921" s="3">
        <f t="shared" ca="1" si="62"/>
        <v>2</v>
      </c>
      <c r="D921" s="2">
        <f t="shared" ca="1" si="59"/>
        <v>3</v>
      </c>
      <c r="E921" s="2">
        <f t="shared" ca="1" si="60"/>
        <v>0</v>
      </c>
    </row>
    <row r="922" spans="1:5" x14ac:dyDescent="0.3">
      <c r="A922" s="3">
        <f t="shared" si="61"/>
        <v>920</v>
      </c>
      <c r="B922" s="3">
        <f t="shared" ca="1" si="62"/>
        <v>2</v>
      </c>
      <c r="C922" s="3">
        <f t="shared" ca="1" si="62"/>
        <v>4</v>
      </c>
      <c r="D922" s="2">
        <f t="shared" ca="1" si="59"/>
        <v>6</v>
      </c>
      <c r="E922" s="2">
        <f t="shared" ca="1" si="60"/>
        <v>0</v>
      </c>
    </row>
    <row r="923" spans="1:5" x14ac:dyDescent="0.3">
      <c r="A923" s="3">
        <f t="shared" si="61"/>
        <v>921</v>
      </c>
      <c r="B923" s="3">
        <f t="shared" ca="1" si="62"/>
        <v>3</v>
      </c>
      <c r="C923" s="3">
        <f t="shared" ca="1" si="62"/>
        <v>3</v>
      </c>
      <c r="D923" s="2">
        <f t="shared" ca="1" si="59"/>
        <v>6</v>
      </c>
      <c r="E923" s="2">
        <f t="shared" ca="1" si="60"/>
        <v>0</v>
      </c>
    </row>
    <row r="924" spans="1:5" x14ac:dyDescent="0.3">
      <c r="A924" s="3">
        <f t="shared" si="61"/>
        <v>922</v>
      </c>
      <c r="B924" s="3">
        <f t="shared" ca="1" si="62"/>
        <v>2</v>
      </c>
      <c r="C924" s="3">
        <f t="shared" ca="1" si="62"/>
        <v>6</v>
      </c>
      <c r="D924" s="2">
        <f t="shared" ca="1" si="59"/>
        <v>8</v>
      </c>
      <c r="E924" s="2">
        <f t="shared" ca="1" si="60"/>
        <v>1</v>
      </c>
    </row>
    <row r="925" spans="1:5" x14ac:dyDescent="0.3">
      <c r="A925" s="3">
        <f t="shared" si="61"/>
        <v>923</v>
      </c>
      <c r="B925" s="3">
        <f t="shared" ca="1" si="62"/>
        <v>4</v>
      </c>
      <c r="C925" s="3">
        <f t="shared" ca="1" si="62"/>
        <v>4</v>
      </c>
      <c r="D925" s="2">
        <f t="shared" ca="1" si="59"/>
        <v>8</v>
      </c>
      <c r="E925" s="2">
        <f t="shared" ca="1" si="60"/>
        <v>1</v>
      </c>
    </row>
    <row r="926" spans="1:5" x14ac:dyDescent="0.3">
      <c r="A926" s="3">
        <f t="shared" si="61"/>
        <v>924</v>
      </c>
      <c r="B926" s="3">
        <f t="shared" ca="1" si="62"/>
        <v>2</v>
      </c>
      <c r="C926" s="3">
        <f t="shared" ca="1" si="62"/>
        <v>3</v>
      </c>
      <c r="D926" s="2">
        <f t="shared" ca="1" si="59"/>
        <v>5</v>
      </c>
      <c r="E926" s="2">
        <f t="shared" ca="1" si="60"/>
        <v>0</v>
      </c>
    </row>
    <row r="927" spans="1:5" x14ac:dyDescent="0.3">
      <c r="A927" s="3">
        <f t="shared" si="61"/>
        <v>925</v>
      </c>
      <c r="B927" s="3">
        <f t="shared" ca="1" si="62"/>
        <v>4</v>
      </c>
      <c r="C927" s="3">
        <f t="shared" ca="1" si="62"/>
        <v>1</v>
      </c>
      <c r="D927" s="2">
        <f t="shared" ca="1" si="59"/>
        <v>5</v>
      </c>
      <c r="E927" s="2">
        <f t="shared" ca="1" si="60"/>
        <v>0</v>
      </c>
    </row>
    <row r="928" spans="1:5" x14ac:dyDescent="0.3">
      <c r="A928" s="3">
        <f t="shared" si="61"/>
        <v>926</v>
      </c>
      <c r="B928" s="3">
        <f t="shared" ca="1" si="62"/>
        <v>2</v>
      </c>
      <c r="C928" s="3">
        <f t="shared" ca="1" si="62"/>
        <v>3</v>
      </c>
      <c r="D928" s="2">
        <f t="shared" ca="1" si="59"/>
        <v>5</v>
      </c>
      <c r="E928" s="2">
        <f t="shared" ca="1" si="60"/>
        <v>0</v>
      </c>
    </row>
    <row r="929" spans="1:5" x14ac:dyDescent="0.3">
      <c r="A929" s="3">
        <f t="shared" si="61"/>
        <v>927</v>
      </c>
      <c r="B929" s="3">
        <f t="shared" ca="1" si="62"/>
        <v>5</v>
      </c>
      <c r="C929" s="3">
        <f t="shared" ca="1" si="62"/>
        <v>5</v>
      </c>
      <c r="D929" s="2">
        <f t="shared" ca="1" si="59"/>
        <v>10</v>
      </c>
      <c r="E929" s="2">
        <f t="shared" ca="1" si="60"/>
        <v>1</v>
      </c>
    </row>
    <row r="930" spans="1:5" x14ac:dyDescent="0.3">
      <c r="A930" s="3">
        <f t="shared" si="61"/>
        <v>928</v>
      </c>
      <c r="B930" s="3">
        <f t="shared" ca="1" si="62"/>
        <v>3</v>
      </c>
      <c r="C930" s="3">
        <f t="shared" ca="1" si="62"/>
        <v>5</v>
      </c>
      <c r="D930" s="2">
        <f t="shared" ca="1" si="59"/>
        <v>8</v>
      </c>
      <c r="E930" s="2">
        <f t="shared" ca="1" si="60"/>
        <v>1</v>
      </c>
    </row>
    <row r="931" spans="1:5" x14ac:dyDescent="0.3">
      <c r="A931" s="3">
        <f t="shared" si="61"/>
        <v>929</v>
      </c>
      <c r="B931" s="3">
        <f t="shared" ca="1" si="62"/>
        <v>6</v>
      </c>
      <c r="C931" s="3">
        <f t="shared" ca="1" si="62"/>
        <v>3</v>
      </c>
      <c r="D931" s="2">
        <f t="shared" ca="1" si="59"/>
        <v>9</v>
      </c>
      <c r="E931" s="2">
        <f t="shared" ca="1" si="60"/>
        <v>1</v>
      </c>
    </row>
    <row r="932" spans="1:5" x14ac:dyDescent="0.3">
      <c r="A932" s="3">
        <f t="shared" si="61"/>
        <v>930</v>
      </c>
      <c r="B932" s="3">
        <f t="shared" ca="1" si="62"/>
        <v>3</v>
      </c>
      <c r="C932" s="3">
        <f t="shared" ca="1" si="62"/>
        <v>1</v>
      </c>
      <c r="D932" s="2">
        <f t="shared" ca="1" si="59"/>
        <v>4</v>
      </c>
      <c r="E932" s="2">
        <f t="shared" ca="1" si="60"/>
        <v>0</v>
      </c>
    </row>
    <row r="933" spans="1:5" x14ac:dyDescent="0.3">
      <c r="A933" s="3">
        <f t="shared" si="61"/>
        <v>931</v>
      </c>
      <c r="B933" s="3">
        <f t="shared" ref="B933:C964" ca="1" si="63">RANDBETWEEN(1,6)</f>
        <v>6</v>
      </c>
      <c r="C933" s="3">
        <f t="shared" ca="1" si="63"/>
        <v>1</v>
      </c>
      <c r="D933" s="2">
        <f t="shared" ca="1" si="59"/>
        <v>7</v>
      </c>
      <c r="E933" s="2">
        <f t="shared" ca="1" si="60"/>
        <v>0</v>
      </c>
    </row>
    <row r="934" spans="1:5" x14ac:dyDescent="0.3">
      <c r="A934" s="3">
        <f t="shared" si="61"/>
        <v>932</v>
      </c>
      <c r="B934" s="3">
        <f t="shared" ca="1" si="63"/>
        <v>1</v>
      </c>
      <c r="C934" s="3">
        <f t="shared" ca="1" si="63"/>
        <v>6</v>
      </c>
      <c r="D934" s="2">
        <f t="shared" ca="1" si="59"/>
        <v>7</v>
      </c>
      <c r="E934" s="2">
        <f t="shared" ca="1" si="60"/>
        <v>0</v>
      </c>
    </row>
    <row r="935" spans="1:5" x14ac:dyDescent="0.3">
      <c r="A935" s="3">
        <f t="shared" si="61"/>
        <v>933</v>
      </c>
      <c r="B935" s="3">
        <f t="shared" ca="1" si="63"/>
        <v>4</v>
      </c>
      <c r="C935" s="3">
        <f t="shared" ca="1" si="63"/>
        <v>6</v>
      </c>
      <c r="D935" s="2">
        <f t="shared" ca="1" si="59"/>
        <v>10</v>
      </c>
      <c r="E935" s="2">
        <f t="shared" ca="1" si="60"/>
        <v>1</v>
      </c>
    </row>
    <row r="936" spans="1:5" x14ac:dyDescent="0.3">
      <c r="A936" s="3">
        <f t="shared" si="61"/>
        <v>934</v>
      </c>
      <c r="B936" s="3">
        <f t="shared" ca="1" si="63"/>
        <v>1</v>
      </c>
      <c r="C936" s="3">
        <f t="shared" ca="1" si="63"/>
        <v>5</v>
      </c>
      <c r="D936" s="2">
        <f t="shared" ca="1" si="59"/>
        <v>6</v>
      </c>
      <c r="E936" s="2">
        <f t="shared" ca="1" si="60"/>
        <v>0</v>
      </c>
    </row>
    <row r="937" spans="1:5" x14ac:dyDescent="0.3">
      <c r="A937" s="3">
        <f t="shared" si="61"/>
        <v>935</v>
      </c>
      <c r="B937" s="3">
        <f t="shared" ca="1" si="63"/>
        <v>3</v>
      </c>
      <c r="C937" s="3">
        <f t="shared" ca="1" si="63"/>
        <v>4</v>
      </c>
      <c r="D937" s="2">
        <f t="shared" ca="1" si="59"/>
        <v>7</v>
      </c>
      <c r="E937" s="2">
        <f t="shared" ca="1" si="60"/>
        <v>0</v>
      </c>
    </row>
    <row r="938" spans="1:5" x14ac:dyDescent="0.3">
      <c r="A938" s="3">
        <f t="shared" si="61"/>
        <v>936</v>
      </c>
      <c r="B938" s="3">
        <f t="shared" ca="1" si="63"/>
        <v>2</v>
      </c>
      <c r="C938" s="3">
        <f t="shared" ca="1" si="63"/>
        <v>1</v>
      </c>
      <c r="D938" s="2">
        <f t="shared" ca="1" si="59"/>
        <v>3</v>
      </c>
      <c r="E938" s="2">
        <f t="shared" ca="1" si="60"/>
        <v>0</v>
      </c>
    </row>
    <row r="939" spans="1:5" x14ac:dyDescent="0.3">
      <c r="A939" s="3">
        <f t="shared" si="61"/>
        <v>937</v>
      </c>
      <c r="B939" s="3">
        <f t="shared" ca="1" si="63"/>
        <v>2</v>
      </c>
      <c r="C939" s="3">
        <f t="shared" ca="1" si="63"/>
        <v>3</v>
      </c>
      <c r="D939" s="2">
        <f t="shared" ca="1" si="59"/>
        <v>5</v>
      </c>
      <c r="E939" s="2">
        <f t="shared" ca="1" si="60"/>
        <v>0</v>
      </c>
    </row>
    <row r="940" spans="1:5" x14ac:dyDescent="0.3">
      <c r="A940" s="3">
        <f t="shared" si="61"/>
        <v>938</v>
      </c>
      <c r="B940" s="3">
        <f t="shared" ca="1" si="63"/>
        <v>3</v>
      </c>
      <c r="C940" s="3">
        <f t="shared" ca="1" si="63"/>
        <v>4</v>
      </c>
      <c r="D940" s="2">
        <f t="shared" ca="1" si="59"/>
        <v>7</v>
      </c>
      <c r="E940" s="2">
        <f t="shared" ca="1" si="60"/>
        <v>0</v>
      </c>
    </row>
    <row r="941" spans="1:5" x14ac:dyDescent="0.3">
      <c r="A941" s="3">
        <f t="shared" si="61"/>
        <v>939</v>
      </c>
      <c r="B941" s="3">
        <f t="shared" ca="1" si="63"/>
        <v>2</v>
      </c>
      <c r="C941" s="3">
        <f t="shared" ca="1" si="63"/>
        <v>1</v>
      </c>
      <c r="D941" s="2">
        <f t="shared" ca="1" si="59"/>
        <v>3</v>
      </c>
      <c r="E941" s="2">
        <f t="shared" ca="1" si="60"/>
        <v>0</v>
      </c>
    </row>
    <row r="942" spans="1:5" x14ac:dyDescent="0.3">
      <c r="A942" s="3">
        <f t="shared" si="61"/>
        <v>940</v>
      </c>
      <c r="B942" s="3">
        <f t="shared" ca="1" si="63"/>
        <v>6</v>
      </c>
      <c r="C942" s="3">
        <f t="shared" ca="1" si="63"/>
        <v>2</v>
      </c>
      <c r="D942" s="2">
        <f t="shared" ca="1" si="59"/>
        <v>8</v>
      </c>
      <c r="E942" s="2">
        <f t="shared" ca="1" si="60"/>
        <v>1</v>
      </c>
    </row>
    <row r="943" spans="1:5" x14ac:dyDescent="0.3">
      <c r="A943" s="3">
        <f t="shared" si="61"/>
        <v>941</v>
      </c>
      <c r="B943" s="3">
        <f t="shared" ca="1" si="63"/>
        <v>5</v>
      </c>
      <c r="C943" s="3">
        <f t="shared" ca="1" si="63"/>
        <v>6</v>
      </c>
      <c r="D943" s="2">
        <f t="shared" ca="1" si="59"/>
        <v>11</v>
      </c>
      <c r="E943" s="2">
        <f t="shared" ca="1" si="60"/>
        <v>1</v>
      </c>
    </row>
    <row r="944" spans="1:5" x14ac:dyDescent="0.3">
      <c r="A944" s="3">
        <f t="shared" si="61"/>
        <v>942</v>
      </c>
      <c r="B944" s="3">
        <f t="shared" ca="1" si="63"/>
        <v>4</v>
      </c>
      <c r="C944" s="3">
        <f t="shared" ca="1" si="63"/>
        <v>1</v>
      </c>
      <c r="D944" s="2">
        <f t="shared" ca="1" si="59"/>
        <v>5</v>
      </c>
      <c r="E944" s="2">
        <f t="shared" ca="1" si="60"/>
        <v>0</v>
      </c>
    </row>
    <row r="945" spans="1:5" x14ac:dyDescent="0.3">
      <c r="A945" s="3">
        <f t="shared" si="61"/>
        <v>943</v>
      </c>
      <c r="B945" s="3">
        <f t="shared" ca="1" si="63"/>
        <v>2</v>
      </c>
      <c r="C945" s="3">
        <f t="shared" ca="1" si="63"/>
        <v>4</v>
      </c>
      <c r="D945" s="2">
        <f t="shared" ca="1" si="59"/>
        <v>6</v>
      </c>
      <c r="E945" s="2">
        <f t="shared" ca="1" si="60"/>
        <v>0</v>
      </c>
    </row>
    <row r="946" spans="1:5" x14ac:dyDescent="0.3">
      <c r="A946" s="3">
        <f t="shared" si="61"/>
        <v>944</v>
      </c>
      <c r="B946" s="3">
        <f t="shared" ca="1" si="63"/>
        <v>4</v>
      </c>
      <c r="C946" s="3">
        <f t="shared" ca="1" si="63"/>
        <v>1</v>
      </c>
      <c r="D946" s="2">
        <f t="shared" ca="1" si="59"/>
        <v>5</v>
      </c>
      <c r="E946" s="2">
        <f t="shared" ca="1" si="60"/>
        <v>0</v>
      </c>
    </row>
    <row r="947" spans="1:5" x14ac:dyDescent="0.3">
      <c r="A947" s="3">
        <f t="shared" si="61"/>
        <v>945</v>
      </c>
      <c r="B947" s="3">
        <f t="shared" ca="1" si="63"/>
        <v>3</v>
      </c>
      <c r="C947" s="3">
        <f t="shared" ca="1" si="63"/>
        <v>5</v>
      </c>
      <c r="D947" s="2">
        <f t="shared" ca="1" si="59"/>
        <v>8</v>
      </c>
      <c r="E947" s="2">
        <f t="shared" ca="1" si="60"/>
        <v>1</v>
      </c>
    </row>
    <row r="948" spans="1:5" x14ac:dyDescent="0.3">
      <c r="A948" s="3">
        <f t="shared" si="61"/>
        <v>946</v>
      </c>
      <c r="B948" s="3">
        <f t="shared" ca="1" si="63"/>
        <v>6</v>
      </c>
      <c r="C948" s="3">
        <f t="shared" ca="1" si="63"/>
        <v>3</v>
      </c>
      <c r="D948" s="2">
        <f t="shared" ca="1" si="59"/>
        <v>9</v>
      </c>
      <c r="E948" s="2">
        <f t="shared" ca="1" si="60"/>
        <v>1</v>
      </c>
    </row>
    <row r="949" spans="1:5" x14ac:dyDescent="0.3">
      <c r="A949" s="3">
        <f t="shared" si="61"/>
        <v>947</v>
      </c>
      <c r="B949" s="3">
        <f t="shared" ca="1" si="63"/>
        <v>2</v>
      </c>
      <c r="C949" s="3">
        <f t="shared" ca="1" si="63"/>
        <v>5</v>
      </c>
      <c r="D949" s="2">
        <f t="shared" ca="1" si="59"/>
        <v>7</v>
      </c>
      <c r="E949" s="2">
        <f t="shared" ca="1" si="60"/>
        <v>0</v>
      </c>
    </row>
    <row r="950" spans="1:5" x14ac:dyDescent="0.3">
      <c r="A950" s="3">
        <f t="shared" si="61"/>
        <v>948</v>
      </c>
      <c r="B950" s="3">
        <f t="shared" ca="1" si="63"/>
        <v>1</v>
      </c>
      <c r="C950" s="3">
        <f t="shared" ca="1" si="63"/>
        <v>6</v>
      </c>
      <c r="D950" s="2">
        <f t="shared" ca="1" si="59"/>
        <v>7</v>
      </c>
      <c r="E950" s="2">
        <f t="shared" ca="1" si="60"/>
        <v>0</v>
      </c>
    </row>
    <row r="951" spans="1:5" x14ac:dyDescent="0.3">
      <c r="A951" s="3">
        <f t="shared" si="61"/>
        <v>949</v>
      </c>
      <c r="B951" s="3">
        <f t="shared" ca="1" si="63"/>
        <v>4</v>
      </c>
      <c r="C951" s="3">
        <f t="shared" ca="1" si="63"/>
        <v>3</v>
      </c>
      <c r="D951" s="2">
        <f t="shared" ca="1" si="59"/>
        <v>7</v>
      </c>
      <c r="E951" s="2">
        <f t="shared" ca="1" si="60"/>
        <v>0</v>
      </c>
    </row>
    <row r="952" spans="1:5" x14ac:dyDescent="0.3">
      <c r="A952" s="3">
        <f t="shared" si="61"/>
        <v>950</v>
      </c>
      <c r="B952" s="3">
        <f t="shared" ca="1" si="63"/>
        <v>2</v>
      </c>
      <c r="C952" s="3">
        <f t="shared" ca="1" si="63"/>
        <v>5</v>
      </c>
      <c r="D952" s="2">
        <f t="shared" ca="1" si="59"/>
        <v>7</v>
      </c>
      <c r="E952" s="2">
        <f t="shared" ca="1" si="60"/>
        <v>0</v>
      </c>
    </row>
    <row r="953" spans="1:5" x14ac:dyDescent="0.3">
      <c r="A953" s="3">
        <f t="shared" si="61"/>
        <v>951</v>
      </c>
      <c r="B953" s="3">
        <f t="shared" ca="1" si="63"/>
        <v>2</v>
      </c>
      <c r="C953" s="3">
        <f t="shared" ca="1" si="63"/>
        <v>4</v>
      </c>
      <c r="D953" s="2">
        <f t="shared" ca="1" si="59"/>
        <v>6</v>
      </c>
      <c r="E953" s="2">
        <f t="shared" ca="1" si="60"/>
        <v>0</v>
      </c>
    </row>
    <row r="954" spans="1:5" x14ac:dyDescent="0.3">
      <c r="A954" s="3">
        <f t="shared" si="61"/>
        <v>952</v>
      </c>
      <c r="B954" s="3">
        <f t="shared" ca="1" si="63"/>
        <v>4</v>
      </c>
      <c r="C954" s="3">
        <f t="shared" ca="1" si="63"/>
        <v>3</v>
      </c>
      <c r="D954" s="2">
        <f t="shared" ca="1" si="59"/>
        <v>7</v>
      </c>
      <c r="E954" s="2">
        <f t="shared" ca="1" si="60"/>
        <v>0</v>
      </c>
    </row>
    <row r="955" spans="1:5" x14ac:dyDescent="0.3">
      <c r="A955" s="3">
        <f t="shared" si="61"/>
        <v>953</v>
      </c>
      <c r="B955" s="3">
        <f t="shared" ca="1" si="63"/>
        <v>3</v>
      </c>
      <c r="C955" s="3">
        <f t="shared" ca="1" si="63"/>
        <v>3</v>
      </c>
      <c r="D955" s="2">
        <f t="shared" ca="1" si="59"/>
        <v>6</v>
      </c>
      <c r="E955" s="2">
        <f t="shared" ca="1" si="60"/>
        <v>0</v>
      </c>
    </row>
    <row r="956" spans="1:5" x14ac:dyDescent="0.3">
      <c r="A956" s="3">
        <f t="shared" si="61"/>
        <v>954</v>
      </c>
      <c r="B956" s="3">
        <f t="shared" ca="1" si="63"/>
        <v>4</v>
      </c>
      <c r="C956" s="3">
        <f t="shared" ca="1" si="63"/>
        <v>5</v>
      </c>
      <c r="D956" s="2">
        <f t="shared" ca="1" si="59"/>
        <v>9</v>
      </c>
      <c r="E956" s="2">
        <f t="shared" ca="1" si="60"/>
        <v>1</v>
      </c>
    </row>
    <row r="957" spans="1:5" x14ac:dyDescent="0.3">
      <c r="A957" s="3">
        <f t="shared" si="61"/>
        <v>955</v>
      </c>
      <c r="B957" s="3">
        <f t="shared" ca="1" si="63"/>
        <v>2</v>
      </c>
      <c r="C957" s="3">
        <f t="shared" ca="1" si="63"/>
        <v>6</v>
      </c>
      <c r="D957" s="2">
        <f t="shared" ca="1" si="59"/>
        <v>8</v>
      </c>
      <c r="E957" s="2">
        <f t="shared" ca="1" si="60"/>
        <v>1</v>
      </c>
    </row>
    <row r="958" spans="1:5" x14ac:dyDescent="0.3">
      <c r="A958" s="3">
        <f t="shared" si="61"/>
        <v>956</v>
      </c>
      <c r="B958" s="3">
        <f t="shared" ca="1" si="63"/>
        <v>5</v>
      </c>
      <c r="C958" s="3">
        <f t="shared" ca="1" si="63"/>
        <v>5</v>
      </c>
      <c r="D958" s="2">
        <f t="shared" ca="1" si="59"/>
        <v>10</v>
      </c>
      <c r="E958" s="2">
        <f t="shared" ca="1" si="60"/>
        <v>1</v>
      </c>
    </row>
    <row r="959" spans="1:5" x14ac:dyDescent="0.3">
      <c r="A959" s="3">
        <f t="shared" si="61"/>
        <v>957</v>
      </c>
      <c r="B959" s="3">
        <f t="shared" ca="1" si="63"/>
        <v>1</v>
      </c>
      <c r="C959" s="3">
        <f t="shared" ca="1" si="63"/>
        <v>6</v>
      </c>
      <c r="D959" s="2">
        <f t="shared" ca="1" si="59"/>
        <v>7</v>
      </c>
      <c r="E959" s="2">
        <f t="shared" ca="1" si="60"/>
        <v>0</v>
      </c>
    </row>
    <row r="960" spans="1:5" x14ac:dyDescent="0.3">
      <c r="A960" s="3">
        <f t="shared" si="61"/>
        <v>958</v>
      </c>
      <c r="B960" s="3">
        <f t="shared" ca="1" si="63"/>
        <v>4</v>
      </c>
      <c r="C960" s="3">
        <f t="shared" ca="1" si="63"/>
        <v>4</v>
      </c>
      <c r="D960" s="2">
        <f t="shared" ca="1" si="59"/>
        <v>8</v>
      </c>
      <c r="E960" s="2">
        <f t="shared" ca="1" si="60"/>
        <v>1</v>
      </c>
    </row>
    <row r="961" spans="1:5" x14ac:dyDescent="0.3">
      <c r="A961" s="3">
        <f t="shared" si="61"/>
        <v>959</v>
      </c>
      <c r="B961" s="3">
        <f t="shared" ca="1" si="63"/>
        <v>6</v>
      </c>
      <c r="C961" s="3">
        <f t="shared" ca="1" si="63"/>
        <v>5</v>
      </c>
      <c r="D961" s="2">
        <f t="shared" ca="1" si="59"/>
        <v>11</v>
      </c>
      <c r="E961" s="2">
        <f t="shared" ca="1" si="60"/>
        <v>1</v>
      </c>
    </row>
    <row r="962" spans="1:5" x14ac:dyDescent="0.3">
      <c r="A962" s="3">
        <f t="shared" si="61"/>
        <v>960</v>
      </c>
      <c r="B962" s="3">
        <f t="shared" ca="1" si="63"/>
        <v>1</v>
      </c>
      <c r="C962" s="3">
        <f t="shared" ca="1" si="63"/>
        <v>5</v>
      </c>
      <c r="D962" s="2">
        <f t="shared" ca="1" si="59"/>
        <v>6</v>
      </c>
      <c r="E962" s="2">
        <f t="shared" ca="1" si="60"/>
        <v>0</v>
      </c>
    </row>
    <row r="963" spans="1:5" x14ac:dyDescent="0.3">
      <c r="A963" s="3">
        <f t="shared" si="61"/>
        <v>961</v>
      </c>
      <c r="B963" s="3">
        <f t="shared" ca="1" si="63"/>
        <v>4</v>
      </c>
      <c r="C963" s="3">
        <f t="shared" ca="1" si="63"/>
        <v>2</v>
      </c>
      <c r="D963" s="2">
        <f t="shared" ca="1" si="59"/>
        <v>6</v>
      </c>
      <c r="E963" s="2">
        <f t="shared" ca="1" si="60"/>
        <v>0</v>
      </c>
    </row>
    <row r="964" spans="1:5" x14ac:dyDescent="0.3">
      <c r="A964" s="3">
        <f t="shared" si="61"/>
        <v>962</v>
      </c>
      <c r="B964" s="3">
        <f t="shared" ca="1" si="63"/>
        <v>1</v>
      </c>
      <c r="C964" s="3">
        <f t="shared" ca="1" si="63"/>
        <v>3</v>
      </c>
      <c r="D964" s="2">
        <f t="shared" ref="D964:D1002" ca="1" si="64">C964+B964</f>
        <v>4</v>
      </c>
      <c r="E964" s="2">
        <f t="shared" ref="E964:E1002" ca="1" si="65">IF(D964&gt;=8,1,0)</f>
        <v>0</v>
      </c>
    </row>
    <row r="965" spans="1:5" x14ac:dyDescent="0.3">
      <c r="A965" s="3">
        <f t="shared" ref="A965:A1002" si="66">A964+1</f>
        <v>963</v>
      </c>
      <c r="B965" s="3">
        <f t="shared" ref="B965:C1002" ca="1" si="67">RANDBETWEEN(1,6)</f>
        <v>3</v>
      </c>
      <c r="C965" s="3">
        <f t="shared" ca="1" si="67"/>
        <v>6</v>
      </c>
      <c r="D965" s="2">
        <f t="shared" ca="1" si="64"/>
        <v>9</v>
      </c>
      <c r="E965" s="2">
        <f t="shared" ca="1" si="65"/>
        <v>1</v>
      </c>
    </row>
    <row r="966" spans="1:5" x14ac:dyDescent="0.3">
      <c r="A966" s="3">
        <f t="shared" si="66"/>
        <v>964</v>
      </c>
      <c r="B966" s="3">
        <f t="shared" ca="1" si="67"/>
        <v>6</v>
      </c>
      <c r="C966" s="3">
        <f t="shared" ca="1" si="67"/>
        <v>2</v>
      </c>
      <c r="D966" s="2">
        <f t="shared" ca="1" si="64"/>
        <v>8</v>
      </c>
      <c r="E966" s="2">
        <f t="shared" ca="1" si="65"/>
        <v>1</v>
      </c>
    </row>
    <row r="967" spans="1:5" x14ac:dyDescent="0.3">
      <c r="A967" s="3">
        <f t="shared" si="66"/>
        <v>965</v>
      </c>
      <c r="B967" s="3">
        <f t="shared" ca="1" si="67"/>
        <v>1</v>
      </c>
      <c r="C967" s="3">
        <f t="shared" ca="1" si="67"/>
        <v>5</v>
      </c>
      <c r="D967" s="2">
        <f t="shared" ca="1" si="64"/>
        <v>6</v>
      </c>
      <c r="E967" s="2">
        <f t="shared" ca="1" si="65"/>
        <v>0</v>
      </c>
    </row>
    <row r="968" spans="1:5" x14ac:dyDescent="0.3">
      <c r="A968" s="3">
        <f t="shared" si="66"/>
        <v>966</v>
      </c>
      <c r="B968" s="3">
        <f t="shared" ca="1" si="67"/>
        <v>5</v>
      </c>
      <c r="C968" s="3">
        <f t="shared" ca="1" si="67"/>
        <v>3</v>
      </c>
      <c r="D968" s="2">
        <f t="shared" ca="1" si="64"/>
        <v>8</v>
      </c>
      <c r="E968" s="2">
        <f t="shared" ca="1" si="65"/>
        <v>1</v>
      </c>
    </row>
    <row r="969" spans="1:5" x14ac:dyDescent="0.3">
      <c r="A969" s="3">
        <f t="shared" si="66"/>
        <v>967</v>
      </c>
      <c r="B969" s="3">
        <f t="shared" ca="1" si="67"/>
        <v>3</v>
      </c>
      <c r="C969" s="3">
        <f t="shared" ca="1" si="67"/>
        <v>5</v>
      </c>
      <c r="D969" s="2">
        <f t="shared" ca="1" si="64"/>
        <v>8</v>
      </c>
      <c r="E969" s="2">
        <f t="shared" ca="1" si="65"/>
        <v>1</v>
      </c>
    </row>
    <row r="970" spans="1:5" x14ac:dyDescent="0.3">
      <c r="A970" s="3">
        <f t="shared" si="66"/>
        <v>968</v>
      </c>
      <c r="B970" s="3">
        <f t="shared" ca="1" si="67"/>
        <v>1</v>
      </c>
      <c r="C970" s="3">
        <f t="shared" ca="1" si="67"/>
        <v>5</v>
      </c>
      <c r="D970" s="2">
        <f t="shared" ca="1" si="64"/>
        <v>6</v>
      </c>
      <c r="E970" s="2">
        <f t="shared" ca="1" si="65"/>
        <v>0</v>
      </c>
    </row>
    <row r="971" spans="1:5" x14ac:dyDescent="0.3">
      <c r="A971" s="3">
        <f t="shared" si="66"/>
        <v>969</v>
      </c>
      <c r="B971" s="3">
        <f t="shared" ca="1" si="67"/>
        <v>5</v>
      </c>
      <c r="C971" s="3">
        <f t="shared" ca="1" si="67"/>
        <v>2</v>
      </c>
      <c r="D971" s="2">
        <f t="shared" ca="1" si="64"/>
        <v>7</v>
      </c>
      <c r="E971" s="2">
        <f t="shared" ca="1" si="65"/>
        <v>0</v>
      </c>
    </row>
    <row r="972" spans="1:5" x14ac:dyDescent="0.3">
      <c r="A972" s="3">
        <f t="shared" si="66"/>
        <v>970</v>
      </c>
      <c r="B972" s="3">
        <f t="shared" ca="1" si="67"/>
        <v>2</v>
      </c>
      <c r="C972" s="3">
        <f t="shared" ca="1" si="67"/>
        <v>4</v>
      </c>
      <c r="D972" s="2">
        <f t="shared" ca="1" si="64"/>
        <v>6</v>
      </c>
      <c r="E972" s="2">
        <f t="shared" ca="1" si="65"/>
        <v>0</v>
      </c>
    </row>
    <row r="973" spans="1:5" x14ac:dyDescent="0.3">
      <c r="A973" s="3">
        <f t="shared" si="66"/>
        <v>971</v>
      </c>
      <c r="B973" s="3">
        <f t="shared" ca="1" si="67"/>
        <v>5</v>
      </c>
      <c r="C973" s="3">
        <f t="shared" ca="1" si="67"/>
        <v>1</v>
      </c>
      <c r="D973" s="2">
        <f t="shared" ca="1" si="64"/>
        <v>6</v>
      </c>
      <c r="E973" s="2">
        <f t="shared" ca="1" si="65"/>
        <v>0</v>
      </c>
    </row>
    <row r="974" spans="1:5" x14ac:dyDescent="0.3">
      <c r="A974" s="3">
        <f t="shared" si="66"/>
        <v>972</v>
      </c>
      <c r="B974" s="3">
        <f t="shared" ca="1" si="67"/>
        <v>3</v>
      </c>
      <c r="C974" s="3">
        <f t="shared" ca="1" si="67"/>
        <v>1</v>
      </c>
      <c r="D974" s="2">
        <f t="shared" ca="1" si="64"/>
        <v>4</v>
      </c>
      <c r="E974" s="2">
        <f t="shared" ca="1" si="65"/>
        <v>0</v>
      </c>
    </row>
    <row r="975" spans="1:5" x14ac:dyDescent="0.3">
      <c r="A975" s="3">
        <f t="shared" si="66"/>
        <v>973</v>
      </c>
      <c r="B975" s="3">
        <f t="shared" ca="1" si="67"/>
        <v>2</v>
      </c>
      <c r="C975" s="3">
        <f t="shared" ca="1" si="67"/>
        <v>3</v>
      </c>
      <c r="D975" s="2">
        <f t="shared" ca="1" si="64"/>
        <v>5</v>
      </c>
      <c r="E975" s="2">
        <f t="shared" ca="1" si="65"/>
        <v>0</v>
      </c>
    </row>
    <row r="976" spans="1:5" x14ac:dyDescent="0.3">
      <c r="A976" s="3">
        <f t="shared" si="66"/>
        <v>974</v>
      </c>
      <c r="B976" s="3">
        <f t="shared" ca="1" si="67"/>
        <v>2</v>
      </c>
      <c r="C976" s="3">
        <f t="shared" ca="1" si="67"/>
        <v>5</v>
      </c>
      <c r="D976" s="2">
        <f t="shared" ca="1" si="64"/>
        <v>7</v>
      </c>
      <c r="E976" s="2">
        <f t="shared" ca="1" si="65"/>
        <v>0</v>
      </c>
    </row>
    <row r="977" spans="1:5" x14ac:dyDescent="0.3">
      <c r="A977" s="3">
        <f t="shared" si="66"/>
        <v>975</v>
      </c>
      <c r="B977" s="3">
        <f t="shared" ca="1" si="67"/>
        <v>5</v>
      </c>
      <c r="C977" s="3">
        <f t="shared" ca="1" si="67"/>
        <v>3</v>
      </c>
      <c r="D977" s="2">
        <f t="shared" ca="1" si="64"/>
        <v>8</v>
      </c>
      <c r="E977" s="2">
        <f t="shared" ca="1" si="65"/>
        <v>1</v>
      </c>
    </row>
    <row r="978" spans="1:5" x14ac:dyDescent="0.3">
      <c r="A978" s="3">
        <f t="shared" si="66"/>
        <v>976</v>
      </c>
      <c r="B978" s="3">
        <f t="shared" ca="1" si="67"/>
        <v>1</v>
      </c>
      <c r="C978" s="3">
        <f t="shared" ca="1" si="67"/>
        <v>3</v>
      </c>
      <c r="D978" s="2">
        <f t="shared" ca="1" si="64"/>
        <v>4</v>
      </c>
      <c r="E978" s="2">
        <f t="shared" ca="1" si="65"/>
        <v>0</v>
      </c>
    </row>
    <row r="979" spans="1:5" x14ac:dyDescent="0.3">
      <c r="A979" s="3">
        <f t="shared" si="66"/>
        <v>977</v>
      </c>
      <c r="B979" s="3">
        <f t="shared" ca="1" si="67"/>
        <v>4</v>
      </c>
      <c r="C979" s="3">
        <f t="shared" ca="1" si="67"/>
        <v>5</v>
      </c>
      <c r="D979" s="2">
        <f t="shared" ca="1" si="64"/>
        <v>9</v>
      </c>
      <c r="E979" s="2">
        <f t="shared" ca="1" si="65"/>
        <v>1</v>
      </c>
    </row>
    <row r="980" spans="1:5" x14ac:dyDescent="0.3">
      <c r="A980" s="3">
        <f t="shared" si="66"/>
        <v>978</v>
      </c>
      <c r="B980" s="3">
        <f t="shared" ca="1" si="67"/>
        <v>2</v>
      </c>
      <c r="C980" s="3">
        <f t="shared" ca="1" si="67"/>
        <v>1</v>
      </c>
      <c r="D980" s="2">
        <f t="shared" ca="1" si="64"/>
        <v>3</v>
      </c>
      <c r="E980" s="2">
        <f t="shared" ca="1" si="65"/>
        <v>0</v>
      </c>
    </row>
    <row r="981" spans="1:5" x14ac:dyDescent="0.3">
      <c r="A981" s="3">
        <f t="shared" si="66"/>
        <v>979</v>
      </c>
      <c r="B981" s="3">
        <f t="shared" ca="1" si="67"/>
        <v>3</v>
      </c>
      <c r="C981" s="3">
        <f t="shared" ca="1" si="67"/>
        <v>4</v>
      </c>
      <c r="D981" s="2">
        <f t="shared" ca="1" si="64"/>
        <v>7</v>
      </c>
      <c r="E981" s="2">
        <f t="shared" ca="1" si="65"/>
        <v>0</v>
      </c>
    </row>
    <row r="982" spans="1:5" x14ac:dyDescent="0.3">
      <c r="A982" s="3">
        <f t="shared" si="66"/>
        <v>980</v>
      </c>
      <c r="B982" s="3">
        <f t="shared" ca="1" si="67"/>
        <v>5</v>
      </c>
      <c r="C982" s="3">
        <f t="shared" ca="1" si="67"/>
        <v>6</v>
      </c>
      <c r="D982" s="2">
        <f t="shared" ca="1" si="64"/>
        <v>11</v>
      </c>
      <c r="E982" s="2">
        <f t="shared" ca="1" si="65"/>
        <v>1</v>
      </c>
    </row>
    <row r="983" spans="1:5" x14ac:dyDescent="0.3">
      <c r="A983" s="3">
        <f t="shared" si="66"/>
        <v>981</v>
      </c>
      <c r="B983" s="3">
        <f t="shared" ca="1" si="67"/>
        <v>6</v>
      </c>
      <c r="C983" s="3">
        <f t="shared" ca="1" si="67"/>
        <v>3</v>
      </c>
      <c r="D983" s="2">
        <f t="shared" ca="1" si="64"/>
        <v>9</v>
      </c>
      <c r="E983" s="2">
        <f t="shared" ca="1" si="65"/>
        <v>1</v>
      </c>
    </row>
    <row r="984" spans="1:5" x14ac:dyDescent="0.3">
      <c r="A984" s="3">
        <f t="shared" si="66"/>
        <v>982</v>
      </c>
      <c r="B984" s="3">
        <f t="shared" ca="1" si="67"/>
        <v>2</v>
      </c>
      <c r="C984" s="3">
        <f t="shared" ca="1" si="67"/>
        <v>1</v>
      </c>
      <c r="D984" s="2">
        <f t="shared" ca="1" si="64"/>
        <v>3</v>
      </c>
      <c r="E984" s="2">
        <f t="shared" ca="1" si="65"/>
        <v>0</v>
      </c>
    </row>
    <row r="985" spans="1:5" x14ac:dyDescent="0.3">
      <c r="A985" s="3">
        <f t="shared" si="66"/>
        <v>983</v>
      </c>
      <c r="B985" s="3">
        <f t="shared" ca="1" si="67"/>
        <v>4</v>
      </c>
      <c r="C985" s="3">
        <f t="shared" ca="1" si="67"/>
        <v>6</v>
      </c>
      <c r="D985" s="2">
        <f t="shared" ca="1" si="64"/>
        <v>10</v>
      </c>
      <c r="E985" s="2">
        <f t="shared" ca="1" si="65"/>
        <v>1</v>
      </c>
    </row>
    <row r="986" spans="1:5" x14ac:dyDescent="0.3">
      <c r="A986" s="3">
        <f t="shared" si="66"/>
        <v>984</v>
      </c>
      <c r="B986" s="3">
        <f t="shared" ca="1" si="67"/>
        <v>1</v>
      </c>
      <c r="C986" s="3">
        <f t="shared" ca="1" si="67"/>
        <v>4</v>
      </c>
      <c r="D986" s="2">
        <f t="shared" ca="1" si="64"/>
        <v>5</v>
      </c>
      <c r="E986" s="2">
        <f t="shared" ca="1" si="65"/>
        <v>0</v>
      </c>
    </row>
    <row r="987" spans="1:5" x14ac:dyDescent="0.3">
      <c r="A987" s="3">
        <f t="shared" si="66"/>
        <v>985</v>
      </c>
      <c r="B987" s="3">
        <f t="shared" ca="1" si="67"/>
        <v>4</v>
      </c>
      <c r="C987" s="3">
        <f t="shared" ca="1" si="67"/>
        <v>6</v>
      </c>
      <c r="D987" s="2">
        <f t="shared" ca="1" si="64"/>
        <v>10</v>
      </c>
      <c r="E987" s="2">
        <f t="shared" ca="1" si="65"/>
        <v>1</v>
      </c>
    </row>
    <row r="988" spans="1:5" x14ac:dyDescent="0.3">
      <c r="A988" s="3">
        <f t="shared" si="66"/>
        <v>986</v>
      </c>
      <c r="B988" s="3">
        <f t="shared" ca="1" si="67"/>
        <v>1</v>
      </c>
      <c r="C988" s="3">
        <f t="shared" ca="1" si="67"/>
        <v>2</v>
      </c>
      <c r="D988" s="2">
        <f t="shared" ca="1" si="64"/>
        <v>3</v>
      </c>
      <c r="E988" s="2">
        <f t="shared" ca="1" si="65"/>
        <v>0</v>
      </c>
    </row>
    <row r="989" spans="1:5" x14ac:dyDescent="0.3">
      <c r="A989" s="3">
        <f t="shared" si="66"/>
        <v>987</v>
      </c>
      <c r="B989" s="3">
        <f t="shared" ca="1" si="67"/>
        <v>5</v>
      </c>
      <c r="C989" s="3">
        <f t="shared" ca="1" si="67"/>
        <v>1</v>
      </c>
      <c r="D989" s="2">
        <f t="shared" ca="1" si="64"/>
        <v>6</v>
      </c>
      <c r="E989" s="2">
        <f t="shared" ca="1" si="65"/>
        <v>0</v>
      </c>
    </row>
    <row r="990" spans="1:5" x14ac:dyDescent="0.3">
      <c r="A990" s="3">
        <f t="shared" si="66"/>
        <v>988</v>
      </c>
      <c r="B990" s="3">
        <f t="shared" ca="1" si="67"/>
        <v>1</v>
      </c>
      <c r="C990" s="3">
        <f t="shared" ca="1" si="67"/>
        <v>6</v>
      </c>
      <c r="D990" s="2">
        <f t="shared" ca="1" si="64"/>
        <v>7</v>
      </c>
      <c r="E990" s="2">
        <f t="shared" ca="1" si="65"/>
        <v>0</v>
      </c>
    </row>
    <row r="991" spans="1:5" x14ac:dyDescent="0.3">
      <c r="A991" s="3">
        <f t="shared" si="66"/>
        <v>989</v>
      </c>
      <c r="B991" s="3">
        <f t="shared" ca="1" si="67"/>
        <v>1</v>
      </c>
      <c r="C991" s="3">
        <f t="shared" ca="1" si="67"/>
        <v>5</v>
      </c>
      <c r="D991" s="2">
        <f t="shared" ca="1" si="64"/>
        <v>6</v>
      </c>
      <c r="E991" s="2">
        <f t="shared" ca="1" si="65"/>
        <v>0</v>
      </c>
    </row>
    <row r="992" spans="1:5" x14ac:dyDescent="0.3">
      <c r="A992" s="3">
        <f t="shared" si="66"/>
        <v>990</v>
      </c>
      <c r="B992" s="3">
        <f t="shared" ca="1" si="67"/>
        <v>1</v>
      </c>
      <c r="C992" s="3">
        <f t="shared" ca="1" si="67"/>
        <v>1</v>
      </c>
      <c r="D992" s="2">
        <f t="shared" ca="1" si="64"/>
        <v>2</v>
      </c>
      <c r="E992" s="2">
        <f t="shared" ca="1" si="65"/>
        <v>0</v>
      </c>
    </row>
    <row r="993" spans="1:5" x14ac:dyDescent="0.3">
      <c r="A993" s="3">
        <f t="shared" si="66"/>
        <v>991</v>
      </c>
      <c r="B993" s="3">
        <f t="shared" ca="1" si="67"/>
        <v>4</v>
      </c>
      <c r="C993" s="3">
        <f t="shared" ca="1" si="67"/>
        <v>1</v>
      </c>
      <c r="D993" s="2">
        <f t="shared" ca="1" si="64"/>
        <v>5</v>
      </c>
      <c r="E993" s="2">
        <f t="shared" ca="1" si="65"/>
        <v>0</v>
      </c>
    </row>
    <row r="994" spans="1:5" x14ac:dyDescent="0.3">
      <c r="A994" s="3">
        <f t="shared" si="66"/>
        <v>992</v>
      </c>
      <c r="B994" s="3">
        <f t="shared" ca="1" si="67"/>
        <v>2</v>
      </c>
      <c r="C994" s="3">
        <f t="shared" ca="1" si="67"/>
        <v>5</v>
      </c>
      <c r="D994" s="2">
        <f t="shared" ca="1" si="64"/>
        <v>7</v>
      </c>
      <c r="E994" s="2">
        <f t="shared" ca="1" si="65"/>
        <v>0</v>
      </c>
    </row>
    <row r="995" spans="1:5" x14ac:dyDescent="0.3">
      <c r="A995" s="3">
        <f t="shared" si="66"/>
        <v>993</v>
      </c>
      <c r="B995" s="3">
        <f t="shared" ca="1" si="67"/>
        <v>1</v>
      </c>
      <c r="C995" s="3">
        <f t="shared" ca="1" si="67"/>
        <v>1</v>
      </c>
      <c r="D995" s="2">
        <f t="shared" ca="1" si="64"/>
        <v>2</v>
      </c>
      <c r="E995" s="2">
        <f t="shared" ca="1" si="65"/>
        <v>0</v>
      </c>
    </row>
    <row r="996" spans="1:5" x14ac:dyDescent="0.3">
      <c r="A996" s="3">
        <f t="shared" si="66"/>
        <v>994</v>
      </c>
      <c r="B996" s="3">
        <f t="shared" ca="1" si="67"/>
        <v>6</v>
      </c>
      <c r="C996" s="3">
        <f t="shared" ca="1" si="67"/>
        <v>5</v>
      </c>
      <c r="D996" s="2">
        <f t="shared" ca="1" si="64"/>
        <v>11</v>
      </c>
      <c r="E996" s="2">
        <f t="shared" ca="1" si="65"/>
        <v>1</v>
      </c>
    </row>
    <row r="997" spans="1:5" x14ac:dyDescent="0.3">
      <c r="A997" s="3">
        <f t="shared" si="66"/>
        <v>995</v>
      </c>
      <c r="B997" s="3">
        <f t="shared" ca="1" si="67"/>
        <v>6</v>
      </c>
      <c r="C997" s="3">
        <f t="shared" ca="1" si="67"/>
        <v>1</v>
      </c>
      <c r="D997" s="2">
        <f t="shared" ca="1" si="64"/>
        <v>7</v>
      </c>
      <c r="E997" s="2">
        <f t="shared" ca="1" si="65"/>
        <v>0</v>
      </c>
    </row>
    <row r="998" spans="1:5" x14ac:dyDescent="0.3">
      <c r="A998" s="3">
        <f t="shared" si="66"/>
        <v>996</v>
      </c>
      <c r="B998" s="3">
        <f t="shared" ca="1" si="67"/>
        <v>1</v>
      </c>
      <c r="C998" s="3">
        <f t="shared" ca="1" si="67"/>
        <v>2</v>
      </c>
      <c r="D998" s="2">
        <f t="shared" ca="1" si="64"/>
        <v>3</v>
      </c>
      <c r="E998" s="2">
        <f t="shared" ca="1" si="65"/>
        <v>0</v>
      </c>
    </row>
    <row r="999" spans="1:5" x14ac:dyDescent="0.3">
      <c r="A999" s="3">
        <f t="shared" si="66"/>
        <v>997</v>
      </c>
      <c r="B999" s="3">
        <f t="shared" ca="1" si="67"/>
        <v>5</v>
      </c>
      <c r="C999" s="3">
        <f t="shared" ca="1" si="67"/>
        <v>5</v>
      </c>
      <c r="D999" s="2">
        <f t="shared" ca="1" si="64"/>
        <v>10</v>
      </c>
      <c r="E999" s="2">
        <f t="shared" ca="1" si="65"/>
        <v>1</v>
      </c>
    </row>
    <row r="1000" spans="1:5" x14ac:dyDescent="0.3">
      <c r="A1000" s="3">
        <f t="shared" si="66"/>
        <v>998</v>
      </c>
      <c r="B1000" s="3">
        <f t="shared" ca="1" si="67"/>
        <v>6</v>
      </c>
      <c r="C1000" s="3">
        <f t="shared" ca="1" si="67"/>
        <v>5</v>
      </c>
      <c r="D1000" s="2">
        <f t="shared" ca="1" si="64"/>
        <v>11</v>
      </c>
      <c r="E1000" s="2">
        <f t="shared" ca="1" si="65"/>
        <v>1</v>
      </c>
    </row>
    <row r="1001" spans="1:5" x14ac:dyDescent="0.3">
      <c r="A1001" s="3">
        <f t="shared" si="66"/>
        <v>999</v>
      </c>
      <c r="B1001" s="3">
        <f t="shared" ca="1" si="67"/>
        <v>1</v>
      </c>
      <c r="C1001" s="3">
        <f t="shared" ca="1" si="67"/>
        <v>1</v>
      </c>
      <c r="D1001" s="2">
        <f t="shared" ca="1" si="64"/>
        <v>2</v>
      </c>
      <c r="E1001" s="2">
        <f t="shared" ca="1" si="65"/>
        <v>0</v>
      </c>
    </row>
    <row r="1002" spans="1:5" x14ac:dyDescent="0.3">
      <c r="A1002" s="3">
        <f t="shared" si="66"/>
        <v>1000</v>
      </c>
      <c r="B1002" s="3">
        <f t="shared" ca="1" si="67"/>
        <v>3</v>
      </c>
      <c r="C1002" s="3">
        <f t="shared" ca="1" si="67"/>
        <v>2</v>
      </c>
      <c r="D1002" s="2">
        <f t="shared" ca="1" si="64"/>
        <v>5</v>
      </c>
      <c r="E1002" s="2">
        <f t="shared" ca="1" si="65"/>
        <v>0</v>
      </c>
    </row>
  </sheetData>
  <mergeCells count="2">
    <mergeCell ref="P12:P17"/>
    <mergeCell ref="R10:W10"/>
  </mergeCells>
  <conditionalFormatting sqref="R12:W17">
    <cfRule type="cellIs" dxfId="0" priority="1" operator="greaterThan">
      <formula>7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1960C-8D13-460E-82BC-DAC6FA0B309E}">
  <sheetPr codeName="Sheet2"/>
  <dimension ref="A2:M33"/>
  <sheetViews>
    <sheetView showGridLines="0" workbookViewId="0">
      <selection activeCell="L25" sqref="L25"/>
    </sheetView>
  </sheetViews>
  <sheetFormatPr defaultRowHeight="14.4" x14ac:dyDescent="0.3"/>
  <cols>
    <col min="6" max="6" width="14.109375" bestFit="1" customWidth="1"/>
    <col min="9" max="9" width="12.109375" bestFit="1" customWidth="1"/>
    <col min="10" max="10" width="15.44140625" customWidth="1"/>
    <col min="13" max="13" width="21.44140625" bestFit="1" customWidth="1"/>
  </cols>
  <sheetData>
    <row r="2" spans="1:13" x14ac:dyDescent="0.3">
      <c r="A2" s="5" t="s">
        <v>15</v>
      </c>
      <c r="B2" s="5" t="s">
        <v>16</v>
      </c>
      <c r="F2" s="5" t="s">
        <v>17</v>
      </c>
      <c r="G2" s="5" t="s">
        <v>18</v>
      </c>
      <c r="K2" s="1" t="s">
        <v>18</v>
      </c>
    </row>
    <row r="3" spans="1:13" x14ac:dyDescent="0.3">
      <c r="A3" s="2">
        <v>0</v>
      </c>
      <c r="B3" s="21">
        <v>-1000</v>
      </c>
      <c r="F3" s="22">
        <v>0</v>
      </c>
      <c r="G3" s="21">
        <f>NPV(F3,$B$4:$B$6)+$B$3</f>
        <v>400</v>
      </c>
      <c r="I3" t="s">
        <v>19</v>
      </c>
      <c r="J3" s="23">
        <v>0.17343750000000002</v>
      </c>
      <c r="K3" s="21">
        <f>NPV(J3,$B$4:$B$6)+$B$3</f>
        <v>0.85276453988979029</v>
      </c>
      <c r="M3" s="25">
        <f>ABS(J4-J3)</f>
        <v>5.8593749999999445E-4</v>
      </c>
    </row>
    <row r="4" spans="1:13" x14ac:dyDescent="0.3">
      <c r="A4" s="2">
        <v>1</v>
      </c>
      <c r="B4" s="21">
        <v>300</v>
      </c>
      <c r="F4" s="22">
        <v>0.01</v>
      </c>
      <c r="G4" s="21">
        <f t="shared" ref="G4:G33" si="0">NPV(F4,$B$4:$B$6)+$B$3</f>
        <v>370.5024065782718</v>
      </c>
      <c r="I4" t="s">
        <v>20</v>
      </c>
      <c r="J4" s="23">
        <v>0.17402343750000002</v>
      </c>
      <c r="K4" s="21">
        <f>NPV(J4,$B$4:$B$6)+$B$3</f>
        <v>-0.17276303705625651</v>
      </c>
    </row>
    <row r="5" spans="1:13" x14ac:dyDescent="0.3">
      <c r="A5" s="2">
        <v>2</v>
      </c>
      <c r="B5" s="21">
        <v>600</v>
      </c>
      <c r="F5" s="22">
        <v>0.02</v>
      </c>
      <c r="G5" s="21">
        <f t="shared" si="0"/>
        <v>341.98008307513714</v>
      </c>
      <c r="I5" t="s">
        <v>21</v>
      </c>
      <c r="J5" s="24">
        <f>(J3+J4)/2</f>
        <v>0.17373046875000003</v>
      </c>
      <c r="K5" s="21">
        <f>NPV(J5,$B$4:$B$6)+$B$3</f>
        <v>0.33978783347765784</v>
      </c>
    </row>
    <row r="6" spans="1:13" x14ac:dyDescent="0.3">
      <c r="A6" s="2">
        <v>3</v>
      </c>
      <c r="B6" s="21">
        <v>500</v>
      </c>
      <c r="F6" s="22">
        <v>0.03</v>
      </c>
      <c r="G6" s="21">
        <f t="shared" si="0"/>
        <v>314.39051107916248</v>
      </c>
    </row>
    <row r="7" spans="1:13" x14ac:dyDescent="0.3">
      <c r="F7" s="22">
        <v>0.04</v>
      </c>
      <c r="G7" s="21">
        <f t="shared" si="0"/>
        <v>287.69344560764671</v>
      </c>
    </row>
    <row r="8" spans="1:13" x14ac:dyDescent="0.3">
      <c r="F8" s="22">
        <v>0.05</v>
      </c>
      <c r="G8" s="21">
        <f t="shared" si="0"/>
        <v>261.85077205485368</v>
      </c>
    </row>
    <row r="9" spans="1:13" x14ac:dyDescent="0.3">
      <c r="F9" s="22">
        <v>0.06</v>
      </c>
      <c r="G9" s="21">
        <f t="shared" si="0"/>
        <v>236.82637344922318</v>
      </c>
    </row>
    <row r="10" spans="1:13" x14ac:dyDescent="0.3">
      <c r="B10" s="25">
        <f>IRR(B3:B6)</f>
        <v>0.17392466076238411</v>
      </c>
      <c r="F10" s="22">
        <v>7.0000000000000007E-2</v>
      </c>
      <c r="G10" s="21">
        <f t="shared" si="0"/>
        <v>212.58600718505386</v>
      </c>
      <c r="I10" s="3" t="s">
        <v>22</v>
      </c>
      <c r="J10" s="3" t="s">
        <v>19</v>
      </c>
      <c r="K10" s="3" t="s">
        <v>20</v>
      </c>
      <c r="L10" s="3" t="s">
        <v>21</v>
      </c>
      <c r="M10" s="26" t="s">
        <v>23</v>
      </c>
    </row>
    <row r="11" spans="1:13" x14ac:dyDescent="0.3">
      <c r="F11" s="22">
        <v>0.08</v>
      </c>
      <c r="G11" s="21">
        <f t="shared" si="0"/>
        <v>189.09719046893247</v>
      </c>
      <c r="I11" s="2">
        <v>1</v>
      </c>
      <c r="J11" s="27">
        <v>0</v>
      </c>
      <c r="K11" s="27">
        <v>0.3</v>
      </c>
      <c r="L11" s="27">
        <v>0.15</v>
      </c>
      <c r="M11" s="27">
        <f>(K11-J11)</f>
        <v>0.3</v>
      </c>
    </row>
    <row r="12" spans="1:13" x14ac:dyDescent="0.3">
      <c r="F12" s="22">
        <v>0.09</v>
      </c>
      <c r="G12" s="21">
        <f t="shared" si="0"/>
        <v>166.32909378863314</v>
      </c>
      <c r="I12" s="2">
        <v>2</v>
      </c>
      <c r="J12" s="27">
        <v>0.15</v>
      </c>
      <c r="K12" s="27">
        <v>0.3</v>
      </c>
      <c r="L12" s="27">
        <v>0.22499999999999998</v>
      </c>
      <c r="M12" s="27">
        <f t="shared" ref="M12:M18" si="1">(K12-J12)</f>
        <v>0.15</v>
      </c>
    </row>
    <row r="13" spans="1:13" x14ac:dyDescent="0.3">
      <c r="F13" s="22">
        <v>0.1</v>
      </c>
      <c r="G13" s="21">
        <f t="shared" si="0"/>
        <v>144.25244177310265</v>
      </c>
      <c r="I13" s="2">
        <v>3</v>
      </c>
      <c r="J13" s="27">
        <v>0.15</v>
      </c>
      <c r="K13" s="27">
        <v>0.22499999999999998</v>
      </c>
      <c r="L13" s="27">
        <v>0.1875</v>
      </c>
      <c r="M13" s="27">
        <f t="shared" si="1"/>
        <v>7.4999999999999983E-2</v>
      </c>
    </row>
    <row r="14" spans="1:13" x14ac:dyDescent="0.3">
      <c r="F14" s="22">
        <v>0.11</v>
      </c>
      <c r="G14" s="21">
        <f t="shared" si="0"/>
        <v>122.83942086717821</v>
      </c>
      <c r="I14" s="2">
        <v>4</v>
      </c>
      <c r="J14" s="27">
        <v>0.15</v>
      </c>
      <c r="K14" s="27">
        <v>0.1875</v>
      </c>
      <c r="L14" s="27">
        <v>0.16875000000000001</v>
      </c>
      <c r="M14" s="27">
        <f t="shared" si="1"/>
        <v>3.7500000000000006E-2</v>
      </c>
    </row>
    <row r="15" spans="1:13" x14ac:dyDescent="0.3">
      <c r="F15" s="22">
        <v>0.12</v>
      </c>
      <c r="G15" s="21">
        <f t="shared" si="0"/>
        <v>102.06359329446036</v>
      </c>
      <c r="I15" s="2">
        <v>5</v>
      </c>
      <c r="J15" s="27">
        <v>0.16875000000000001</v>
      </c>
      <c r="K15" s="27">
        <v>0.1875</v>
      </c>
      <c r="L15" s="27">
        <v>0.17812500000000001</v>
      </c>
      <c r="M15" s="27">
        <f t="shared" si="1"/>
        <v>1.8749999999999989E-2</v>
      </c>
    </row>
    <row r="16" spans="1:13" x14ac:dyDescent="0.3">
      <c r="F16" s="22">
        <v>0.13</v>
      </c>
      <c r="G16" s="21">
        <f t="shared" si="0"/>
        <v>81.899816826842425</v>
      </c>
      <c r="I16" s="2">
        <v>6</v>
      </c>
      <c r="J16" s="27">
        <v>0.16875000000000001</v>
      </c>
      <c r="K16" s="27">
        <v>0.17812500000000001</v>
      </c>
      <c r="L16" s="27">
        <v>0.17343750000000002</v>
      </c>
      <c r="M16" s="27">
        <f t="shared" si="1"/>
        <v>9.3749999999999944E-3</v>
      </c>
    </row>
    <row r="17" spans="6:13" x14ac:dyDescent="0.3">
      <c r="F17" s="22">
        <v>0.14000000000000001</v>
      </c>
      <c r="G17" s="21">
        <f t="shared" si="0"/>
        <v>62.324169920029135</v>
      </c>
      <c r="I17" s="2">
        <v>7</v>
      </c>
      <c r="J17" s="27">
        <v>0.17343750000000002</v>
      </c>
      <c r="K17" s="27">
        <v>0.17812500000000001</v>
      </c>
      <c r="L17" s="27">
        <v>0.17578125</v>
      </c>
      <c r="M17" s="27">
        <f t="shared" si="1"/>
        <v>4.6874999999999833E-3</v>
      </c>
    </row>
    <row r="18" spans="6:13" x14ac:dyDescent="0.3">
      <c r="F18" s="22">
        <v>0.15</v>
      </c>
      <c r="G18" s="21">
        <f t="shared" si="0"/>
        <v>43.31388181145735</v>
      </c>
      <c r="I18" s="2">
        <v>8</v>
      </c>
      <c r="J18" s="27">
        <v>0.17343750000000002</v>
      </c>
      <c r="K18" s="27">
        <v>0.17578125</v>
      </c>
      <c r="L18" s="27">
        <v>0.17460937500000001</v>
      </c>
      <c r="M18" s="27">
        <f t="shared" si="1"/>
        <v>2.3437499999999778E-3</v>
      </c>
    </row>
    <row r="19" spans="6:13" x14ac:dyDescent="0.3">
      <c r="F19" s="22">
        <v>0.16</v>
      </c>
      <c r="G19" s="21">
        <f t="shared" si="0"/>
        <v>24.847267210627933</v>
      </c>
      <c r="I19" s="2">
        <v>9</v>
      </c>
      <c r="J19" s="27">
        <v>0.17343750000000002</v>
      </c>
      <c r="K19" s="27">
        <v>0.17460937500000001</v>
      </c>
      <c r="L19" s="27">
        <v>0.17402343750000002</v>
      </c>
      <c r="M19" s="27">
        <f t="shared" ref="M19:M20" si="2">(K19-J19)</f>
        <v>1.1718749999999889E-3</v>
      </c>
    </row>
    <row r="20" spans="6:13" x14ac:dyDescent="0.3">
      <c r="F20" s="22">
        <v>0.17</v>
      </c>
      <c r="G20" s="21">
        <f t="shared" si="0"/>
        <v>6.9036652424774729</v>
      </c>
      <c r="I20" s="2">
        <v>10</v>
      </c>
      <c r="J20" s="27">
        <v>0.17343750000000002</v>
      </c>
      <c r="K20" s="27">
        <v>0.17402343750000002</v>
      </c>
      <c r="L20" s="27">
        <v>0.17373046875000003</v>
      </c>
      <c r="M20" s="27">
        <f t="shared" si="2"/>
        <v>5.8593749999999445E-4</v>
      </c>
    </row>
    <row r="21" spans="6:13" x14ac:dyDescent="0.3">
      <c r="F21" s="22">
        <v>0.18</v>
      </c>
      <c r="G21" s="21">
        <f t="shared" si="0"/>
        <v>-10.536617667823748</v>
      </c>
    </row>
    <row r="22" spans="6:13" x14ac:dyDescent="0.3">
      <c r="F22" s="22">
        <v>0.19</v>
      </c>
      <c r="G22" s="21">
        <f t="shared" si="0"/>
        <v>-27.492361254932007</v>
      </c>
    </row>
    <row r="23" spans="6:13" x14ac:dyDescent="0.3">
      <c r="F23" s="22">
        <v>0.2</v>
      </c>
      <c r="G23" s="21">
        <f t="shared" si="0"/>
        <v>-43.981481481481524</v>
      </c>
    </row>
    <row r="24" spans="6:13" x14ac:dyDescent="0.3">
      <c r="F24" s="22">
        <v>0.21</v>
      </c>
      <c r="G24" s="21">
        <f t="shared" si="0"/>
        <v>-60.021077456548142</v>
      </c>
      <c r="L24" s="28" cm="1">
        <f t="array" ref="L24">myirr(0.001)</f>
        <v>0.17373046875000003</v>
      </c>
    </row>
    <row r="25" spans="6:13" x14ac:dyDescent="0.3">
      <c r="F25" s="22">
        <v>0.22</v>
      </c>
      <c r="G25" s="21">
        <f t="shared" si="0"/>
        <v>-75.627475427458535</v>
      </c>
    </row>
    <row r="26" spans="6:13" x14ac:dyDescent="0.3">
      <c r="F26" s="22">
        <v>0.23</v>
      </c>
      <c r="G26" s="21">
        <f t="shared" si="0"/>
        <v>-90.816270050465619</v>
      </c>
    </row>
    <row r="27" spans="6:13" x14ac:dyDescent="0.3">
      <c r="F27" s="22">
        <v>0.24</v>
      </c>
      <c r="G27" s="21">
        <f t="shared" si="0"/>
        <v>-105.6023631298043</v>
      </c>
    </row>
    <row r="28" spans="6:13" x14ac:dyDescent="0.3">
      <c r="F28" s="22">
        <v>0.25</v>
      </c>
      <c r="G28" s="21">
        <f t="shared" si="0"/>
        <v>-120</v>
      </c>
      <c r="J28" s="8"/>
    </row>
    <row r="29" spans="6:13" x14ac:dyDescent="0.3">
      <c r="F29" s="22">
        <v>0.26</v>
      </c>
      <c r="G29" s="21">
        <f t="shared" si="0"/>
        <v>-134.02280371290203</v>
      </c>
    </row>
    <row r="30" spans="6:13" x14ac:dyDescent="0.3">
      <c r="F30" s="22">
        <v>0.27</v>
      </c>
      <c r="G30" s="21">
        <f t="shared" si="0"/>
        <v>-147.68380717863795</v>
      </c>
    </row>
    <row r="31" spans="6:13" x14ac:dyDescent="0.3">
      <c r="F31" s="22">
        <v>0.28000000000000003</v>
      </c>
      <c r="G31" s="21">
        <f t="shared" si="0"/>
        <v>-160.9954833984375</v>
      </c>
    </row>
    <row r="32" spans="6:13" x14ac:dyDescent="0.3">
      <c r="F32" s="22">
        <v>0.28999999999999998</v>
      </c>
      <c r="G32" s="21">
        <f t="shared" si="0"/>
        <v>-173.9697739169485</v>
      </c>
    </row>
    <row r="33" spans="6:7" x14ac:dyDescent="0.3">
      <c r="F33" s="22">
        <v>0.3</v>
      </c>
      <c r="G33" s="21">
        <f t="shared" si="0"/>
        <v>-186.61811561219849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3E23-D836-4156-A771-EA039229788C}">
  <sheetPr codeName="Sheet3"/>
  <dimension ref="A2:H33"/>
  <sheetViews>
    <sheetView showGridLines="0" workbookViewId="0">
      <selection activeCell="H9" sqref="H9"/>
    </sheetView>
  </sheetViews>
  <sheetFormatPr defaultRowHeight="14.4" x14ac:dyDescent="0.3"/>
  <cols>
    <col min="1" max="1" width="16" bestFit="1" customWidth="1"/>
    <col min="2" max="2" width="14.33203125" bestFit="1" customWidth="1"/>
    <col min="7" max="7" width="11.33203125" bestFit="1" customWidth="1"/>
    <col min="8" max="8" width="13.33203125" bestFit="1" customWidth="1"/>
  </cols>
  <sheetData>
    <row r="2" spans="1:8" x14ac:dyDescent="0.3">
      <c r="A2" s="2" t="s">
        <v>24</v>
      </c>
      <c r="B2" s="29">
        <v>0.85</v>
      </c>
      <c r="G2" t="s">
        <v>29</v>
      </c>
      <c r="H2" t="s">
        <v>31</v>
      </c>
    </row>
    <row r="3" spans="1:8" x14ac:dyDescent="0.3">
      <c r="A3" s="2" t="s">
        <v>25</v>
      </c>
      <c r="B3" s="30">
        <v>0.01</v>
      </c>
      <c r="G3" s="7">
        <v>0.7</v>
      </c>
      <c r="H3" s="34" cm="1">
        <f t="array" ref="H3">FXforwardValue(G3,$B$3,$B$4,$B$5,$B$7)*$B$9</f>
        <v>-1492537.3134328357</v>
      </c>
    </row>
    <row r="4" spans="1:8" x14ac:dyDescent="0.3">
      <c r="A4" s="2" t="s">
        <v>26</v>
      </c>
      <c r="B4" s="30">
        <v>0.02</v>
      </c>
      <c r="G4" s="7">
        <v>0.71</v>
      </c>
      <c r="H4" s="34" cm="1">
        <f t="array" ref="H4">FXforwardValue(G4,$B$3,$B$4,$B$5,$B$7)*$B$9</f>
        <v>-1393034.8258706471</v>
      </c>
    </row>
    <row r="5" spans="1:8" x14ac:dyDescent="0.3">
      <c r="A5" s="2" t="s">
        <v>27</v>
      </c>
      <c r="B5" s="31">
        <v>0.5</v>
      </c>
      <c r="G5" s="7">
        <v>0.72</v>
      </c>
      <c r="H5" s="34" cm="1">
        <f t="array" ref="H5">FXforwardValue(G5,$B$3,$B$4,$B$5,$B$7)*$B$9</f>
        <v>-1293532.3383084573</v>
      </c>
    </row>
    <row r="6" spans="1:8" x14ac:dyDescent="0.3">
      <c r="G6" s="7">
        <v>0.73</v>
      </c>
      <c r="H6" s="34" cm="1">
        <f t="array" ref="H6">FXforwardValue(G6,$B$3,$B$4,$B$5,$B$7)*$B$9</f>
        <v>-1194029.8507462689</v>
      </c>
    </row>
    <row r="7" spans="1:8" x14ac:dyDescent="0.3">
      <c r="A7" s="20" t="s">
        <v>28</v>
      </c>
      <c r="B7" s="32" cm="1">
        <f t="array" ref="B7">FXforwardPrice(B2,B3,B4,B5)</f>
        <v>0.85422885572139307</v>
      </c>
      <c r="G7" s="7">
        <v>0.74</v>
      </c>
      <c r="H7" s="34" cm="1">
        <f t="array" ref="H7">FXforwardValue(G7,$B$3,$B$4,$B$5,$B$7)*$B$9</f>
        <v>-1094527.3631840791</v>
      </c>
    </row>
    <row r="8" spans="1:8" x14ac:dyDescent="0.3">
      <c r="G8" s="7">
        <v>0.75</v>
      </c>
      <c r="H8" s="34" cm="1">
        <f t="array" ref="H8">FXforwardValue(G8,$B$3,$B$4,$B$5,$B$7)*$B$9</f>
        <v>-995024.87562189042</v>
      </c>
    </row>
    <row r="9" spans="1:8" x14ac:dyDescent="0.3">
      <c r="A9" t="s">
        <v>30</v>
      </c>
      <c r="B9" s="33">
        <v>10000000</v>
      </c>
      <c r="G9" s="7">
        <v>0.76</v>
      </c>
      <c r="H9" s="34" cm="1">
        <f t="array" ref="H9">FXforwardValue(G9,$B$3,$B$4,$B$5,$B$7)*$B$9</f>
        <v>-895522.38805970072</v>
      </c>
    </row>
    <row r="10" spans="1:8" x14ac:dyDescent="0.3">
      <c r="G10" s="7">
        <v>0.77</v>
      </c>
      <c r="H10" s="34" cm="1">
        <f t="array" ref="H10">FXforwardValue(G10,$B$3,$B$4,$B$5,$B$7)*$B$9</f>
        <v>-796019.90049751219</v>
      </c>
    </row>
    <row r="11" spans="1:8" x14ac:dyDescent="0.3">
      <c r="G11" s="7">
        <v>0.78</v>
      </c>
      <c r="H11" s="34" cm="1">
        <f t="array" ref="H11">FXforwardValue(G11,$B$3,$B$4,$B$5,$B$7)*$B$9</f>
        <v>-696517.41293532238</v>
      </c>
    </row>
    <row r="12" spans="1:8" x14ac:dyDescent="0.3">
      <c r="G12" s="7">
        <v>0.79</v>
      </c>
      <c r="H12" s="34" cm="1">
        <f t="array" ref="H12">FXforwardValue(G12,$B$3,$B$4,$B$5,$B$7)*$B$9</f>
        <v>-597014.92537313385</v>
      </c>
    </row>
    <row r="13" spans="1:8" x14ac:dyDescent="0.3">
      <c r="G13" s="7">
        <v>0.8</v>
      </c>
      <c r="H13" s="34" cm="1">
        <f t="array" ref="H13">FXforwardValue(G13,$B$3,$B$4,$B$5,$B$7)*$B$9</f>
        <v>-497512.4378109441</v>
      </c>
    </row>
    <row r="14" spans="1:8" x14ac:dyDescent="0.3">
      <c r="G14" s="7">
        <v>0.81</v>
      </c>
      <c r="H14" s="34" cm="1">
        <f t="array" ref="H14">FXforwardValue(G14,$B$3,$B$4,$B$5,$B$7)*$B$9</f>
        <v>-398009.95024875551</v>
      </c>
    </row>
    <row r="15" spans="1:8" x14ac:dyDescent="0.3">
      <c r="G15" s="7">
        <v>0.82</v>
      </c>
      <c r="H15" s="34" cm="1">
        <f t="array" ref="H15">FXforwardValue(G15,$B$3,$B$4,$B$5,$B$7)*$B$9</f>
        <v>-298507.46268656693</v>
      </c>
    </row>
    <row r="16" spans="1:8" x14ac:dyDescent="0.3">
      <c r="G16" s="7">
        <v>0.83</v>
      </c>
      <c r="H16" s="34" cm="1">
        <f t="array" ref="H16">FXforwardValue(G16,$B$3,$B$4,$B$5,$B$7)*$B$9</f>
        <v>-199004.97512437831</v>
      </c>
    </row>
    <row r="17" spans="7:8" x14ac:dyDescent="0.3">
      <c r="G17" s="7">
        <v>0.84</v>
      </c>
      <c r="H17" s="34" cm="1">
        <f t="array" ref="H17">FXforwardValue(G17,$B$3,$B$4,$B$5,$B$7)*$B$9</f>
        <v>-99502.487562188602</v>
      </c>
    </row>
    <row r="18" spans="7:8" x14ac:dyDescent="0.3">
      <c r="G18" s="7">
        <v>0.85</v>
      </c>
      <c r="H18" s="34" cm="1">
        <f t="array" ref="H18">FXforwardValue(G18,$B$3,$B$4,$B$5,$B$7)*$B$9</f>
        <v>0</v>
      </c>
    </row>
    <row r="19" spans="7:8" x14ac:dyDescent="0.3">
      <c r="G19" s="7">
        <v>0.86</v>
      </c>
      <c r="H19" s="34" cm="1">
        <f t="array" ref="H19">FXforwardValue(G19,$B$3,$B$4,$B$5,$B$7)*$B$9</f>
        <v>99502.487562189708</v>
      </c>
    </row>
    <row r="20" spans="7:8" x14ac:dyDescent="0.3">
      <c r="G20" s="7">
        <v>0.87</v>
      </c>
      <c r="H20" s="34" cm="1">
        <f t="array" ref="H20">FXforwardValue(G20,$B$3,$B$4,$B$5,$B$7)*$B$9</f>
        <v>199004.97512437831</v>
      </c>
    </row>
    <row r="21" spans="7:8" x14ac:dyDescent="0.3">
      <c r="G21" s="7">
        <v>0.88</v>
      </c>
      <c r="H21" s="34" cm="1">
        <f t="array" ref="H21">FXforwardValue(G21,$B$3,$B$4,$B$5,$B$7)*$B$9</f>
        <v>298507.46268656803</v>
      </c>
    </row>
    <row r="22" spans="7:8" x14ac:dyDescent="0.3">
      <c r="G22" s="7">
        <v>0.89</v>
      </c>
      <c r="H22" s="34" cm="1">
        <f t="array" ref="H22">FXforwardValue(G22,$B$3,$B$4,$B$5,$B$7)*$B$9</f>
        <v>398009.95024875662</v>
      </c>
    </row>
    <row r="23" spans="7:8" x14ac:dyDescent="0.3">
      <c r="G23" s="7">
        <v>0.9</v>
      </c>
      <c r="H23" s="34" cm="1">
        <f t="array" ref="H23">FXforwardValue(G23,$B$3,$B$4,$B$5,$B$7)*$B$9</f>
        <v>497512.43781094631</v>
      </c>
    </row>
    <row r="24" spans="7:8" x14ac:dyDescent="0.3">
      <c r="G24" s="7">
        <v>0.91</v>
      </c>
      <c r="H24" s="34" cm="1">
        <f t="array" ref="H24">FXforwardValue(G24,$B$3,$B$4,$B$5,$B$7)*$B$9</f>
        <v>597014.9253731349</v>
      </c>
    </row>
    <row r="25" spans="7:8" x14ac:dyDescent="0.3">
      <c r="G25" s="7">
        <v>0.92</v>
      </c>
      <c r="H25" s="34" cm="1">
        <f t="array" ref="H25">FXforwardValue(G25,$B$3,$B$4,$B$5,$B$7)*$B$9</f>
        <v>696517.41293532471</v>
      </c>
    </row>
    <row r="26" spans="7:8" x14ac:dyDescent="0.3">
      <c r="G26" s="7">
        <v>0.93</v>
      </c>
      <c r="H26" s="34" cm="1">
        <f t="array" ref="H26">FXforwardValue(G26,$B$3,$B$4,$B$5,$B$7)*$B$9</f>
        <v>796019.90049751324</v>
      </c>
    </row>
    <row r="27" spans="7:8" x14ac:dyDescent="0.3">
      <c r="G27" s="7">
        <v>0.94</v>
      </c>
      <c r="H27" s="34" cm="1">
        <f t="array" ref="H27">FXforwardValue(G27,$B$3,$B$4,$B$5,$B$7)*$B$9</f>
        <v>895522.38805970189</v>
      </c>
    </row>
    <row r="28" spans="7:8" x14ac:dyDescent="0.3">
      <c r="G28" s="7">
        <v>0.95</v>
      </c>
      <c r="H28" s="34" cm="1">
        <f t="array" ref="H28">FXforwardValue(G28,$B$3,$B$4,$B$5,$B$7)*$B$9</f>
        <v>995024.87562189042</v>
      </c>
    </row>
    <row r="29" spans="7:8" x14ac:dyDescent="0.3">
      <c r="G29" s="7">
        <v>0.96</v>
      </c>
      <c r="H29" s="34" cm="1">
        <f t="array" ref="H29">FXforwardValue(G29,$B$3,$B$4,$B$5,$B$7)*$B$9</f>
        <v>1094527.3631840802</v>
      </c>
    </row>
    <row r="30" spans="7:8" x14ac:dyDescent="0.3">
      <c r="G30" s="7">
        <v>0.97</v>
      </c>
      <c r="H30" s="34" cm="1">
        <f t="array" ref="H30">FXforwardValue(G30,$B$3,$B$4,$B$5,$B$7)*$B$9</f>
        <v>1194029.8507462689</v>
      </c>
    </row>
    <row r="31" spans="7:8" x14ac:dyDescent="0.3">
      <c r="G31" s="7">
        <v>0.98</v>
      </c>
      <c r="H31" s="34" cm="1">
        <f t="array" ref="H31">FXforwardValue(G31,$B$3,$B$4,$B$5,$B$7)*$B$9</f>
        <v>1293532.3383084584</v>
      </c>
    </row>
    <row r="32" spans="7:8" x14ac:dyDescent="0.3">
      <c r="G32" s="7">
        <v>0.99</v>
      </c>
      <c r="H32" s="34" cm="1">
        <f t="array" ref="H32">FXforwardValue(G32,$B$3,$B$4,$B$5,$B$7)*$B$9</f>
        <v>1393034.8258706471</v>
      </c>
    </row>
    <row r="33" spans="7:8" x14ac:dyDescent="0.3">
      <c r="G33" s="7">
        <v>1</v>
      </c>
      <c r="H33" s="34" cm="1">
        <f t="array" ref="H33">FXforwardValue(G33,$B$3,$B$4,$B$5,$B$7)*$B$9</f>
        <v>1492537.3134328369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117D1-3F3A-457B-B4AF-FBC1B8D734F3}">
  <sheetPr codeName="Sheet4"/>
  <dimension ref="A1:U66"/>
  <sheetViews>
    <sheetView tabSelected="1" zoomScale="80" zoomScaleNormal="100" workbookViewId="0">
      <selection activeCell="E11" sqref="E11"/>
    </sheetView>
  </sheetViews>
  <sheetFormatPr defaultColWidth="9.109375" defaultRowHeight="14.4" x14ac:dyDescent="0.3"/>
  <cols>
    <col min="1" max="1" width="9.109375" style="35"/>
    <col min="2" max="2" width="15.5546875" style="35" bestFit="1" customWidth="1"/>
    <col min="3" max="13" width="9.109375" style="35"/>
    <col min="14" max="14" width="10.21875" style="35" bestFit="1" customWidth="1"/>
    <col min="15" max="16" width="9.109375" style="35"/>
    <col min="17" max="17" width="9.5546875" style="35" bestFit="1" customWidth="1"/>
    <col min="18" max="18" width="11.44140625" style="35" customWidth="1"/>
    <col min="19" max="19" width="9.109375" style="35"/>
    <col min="20" max="20" width="10.77734375" style="35" bestFit="1" customWidth="1"/>
    <col min="21" max="16384" width="9.109375" style="35"/>
  </cols>
  <sheetData>
    <row r="1" spans="1:21" ht="15" thickBot="1" x14ac:dyDescent="0.35"/>
    <row r="2" spans="1:21" x14ac:dyDescent="0.3">
      <c r="A2" s="46"/>
      <c r="B2" s="47" t="s">
        <v>24</v>
      </c>
      <c r="C2" s="48">
        <v>100</v>
      </c>
      <c r="D2" s="48">
        <v>100</v>
      </c>
      <c r="E2" s="47"/>
      <c r="F2" s="47"/>
      <c r="G2" s="49"/>
    </row>
    <row r="3" spans="1:21" x14ac:dyDescent="0.3">
      <c r="A3" s="50"/>
      <c r="B3" s="36" t="s">
        <v>32</v>
      </c>
      <c r="C3" s="39">
        <v>100</v>
      </c>
      <c r="D3" s="39">
        <v>100</v>
      </c>
      <c r="E3" s="36"/>
      <c r="F3" s="36"/>
      <c r="G3" s="51"/>
    </row>
    <row r="4" spans="1:21" x14ac:dyDescent="0.3">
      <c r="A4" s="50"/>
      <c r="B4" s="36" t="s">
        <v>33</v>
      </c>
      <c r="C4" s="40">
        <v>0.02</v>
      </c>
      <c r="D4" s="40">
        <v>0.02</v>
      </c>
      <c r="E4" s="36"/>
      <c r="F4" s="36"/>
      <c r="G4" s="51"/>
    </row>
    <row r="5" spans="1:21" x14ac:dyDescent="0.3">
      <c r="A5" s="50"/>
      <c r="B5" s="36" t="s">
        <v>34</v>
      </c>
      <c r="C5" s="40">
        <v>0</v>
      </c>
      <c r="D5" s="40">
        <v>0</v>
      </c>
      <c r="E5" s="36"/>
      <c r="F5" s="36"/>
      <c r="G5" s="51"/>
    </row>
    <row r="6" spans="1:21" x14ac:dyDescent="0.3">
      <c r="A6" s="50"/>
      <c r="B6" s="36" t="s">
        <v>35</v>
      </c>
      <c r="C6" s="40">
        <v>0.25</v>
      </c>
      <c r="D6" s="40">
        <v>0.25</v>
      </c>
      <c r="E6" s="36"/>
      <c r="F6" s="36"/>
      <c r="G6" s="51"/>
    </row>
    <row r="7" spans="1:21" x14ac:dyDescent="0.3">
      <c r="A7" s="50"/>
      <c r="B7" s="36" t="s">
        <v>36</v>
      </c>
      <c r="C7" s="39">
        <v>0.5</v>
      </c>
      <c r="D7" s="39">
        <f>0.5-1/365</f>
        <v>0.49726027397260275</v>
      </c>
      <c r="E7" s="36"/>
      <c r="F7" s="36"/>
      <c r="G7" s="51"/>
    </row>
    <row r="8" spans="1:21" x14ac:dyDescent="0.3">
      <c r="A8" s="50"/>
      <c r="B8" s="36" t="s">
        <v>37</v>
      </c>
      <c r="C8" s="41" t="s">
        <v>40</v>
      </c>
      <c r="D8" s="41" t="s">
        <v>40</v>
      </c>
      <c r="E8" s="36"/>
      <c r="F8" s="36"/>
      <c r="G8" s="51"/>
    </row>
    <row r="9" spans="1:21" x14ac:dyDescent="0.3">
      <c r="A9" s="50"/>
      <c r="B9" s="36"/>
      <c r="C9" s="36"/>
      <c r="D9" s="36"/>
      <c r="E9" s="36"/>
      <c r="F9" s="36"/>
      <c r="G9" s="51"/>
    </row>
    <row r="10" spans="1:21" x14ac:dyDescent="0.3">
      <c r="A10" s="50"/>
      <c r="B10" s="36"/>
      <c r="C10" s="36"/>
      <c r="D10" s="36"/>
      <c r="E10" s="36"/>
      <c r="F10" s="36"/>
      <c r="G10" s="51"/>
    </row>
    <row r="11" spans="1:21" x14ac:dyDescent="0.3">
      <c r="A11" s="50"/>
      <c r="B11" s="36" t="s">
        <v>38</v>
      </c>
      <c r="C11" s="36">
        <f>(LN(C2/C3)+(C4-C5+0.5*C6^2)*C7)/(C6*SQRT(C7))</f>
        <v>0.14495689014324226</v>
      </c>
      <c r="D11" s="36">
        <f>(LN(D2/D3)+(D4-D5+0.5*D6^2)*D7)/(D6*SQRT(D7))</f>
        <v>0.14455920245248532</v>
      </c>
      <c r="E11" s="36"/>
      <c r="F11" s="36"/>
      <c r="G11" s="51"/>
    </row>
    <row r="12" spans="1:21" x14ac:dyDescent="0.3">
      <c r="A12" s="50"/>
      <c r="B12" s="36" t="s">
        <v>39</v>
      </c>
      <c r="C12" s="36">
        <f>C11-C6*SQRT(C7)</f>
        <v>-3.1819805153394637E-2</v>
      </c>
      <c r="D12" s="36">
        <f>D11-D6*SQRT(D7)</f>
        <v>-3.1732507855423558E-2</v>
      </c>
      <c r="E12" s="36"/>
      <c r="F12" s="36"/>
      <c r="G12" s="51"/>
    </row>
    <row r="13" spans="1:21" x14ac:dyDescent="0.3">
      <c r="A13" s="50"/>
      <c r="B13" s="36"/>
      <c r="C13" s="36"/>
      <c r="D13" s="36"/>
      <c r="E13" s="36"/>
      <c r="F13" s="36"/>
      <c r="G13" s="51"/>
    </row>
    <row r="14" spans="1:21" x14ac:dyDescent="0.3">
      <c r="A14" s="50"/>
      <c r="B14" s="36" t="s">
        <v>41</v>
      </c>
      <c r="C14" s="36">
        <f>NORMSDIST(C11)</f>
        <v>0.55762754555777638</v>
      </c>
      <c r="D14" s="36">
        <f>NORMSDIST(D11)</f>
        <v>0.55747054473985624</v>
      </c>
      <c r="E14" s="36"/>
      <c r="F14" s="36"/>
      <c r="G14" s="51"/>
    </row>
    <row r="15" spans="1:21" x14ac:dyDescent="0.3">
      <c r="A15" s="50"/>
      <c r="B15" s="36" t="s">
        <v>42</v>
      </c>
      <c r="C15" s="36">
        <f>NORMSDIST(C12)</f>
        <v>0.48730787620219956</v>
      </c>
      <c r="D15" s="36">
        <f>NORMSDIST(D12)</f>
        <v>0.48734268520713114</v>
      </c>
      <c r="E15" s="36"/>
      <c r="F15" s="36"/>
      <c r="G15" s="51"/>
      <c r="N15" s="38" t="s">
        <v>46</v>
      </c>
      <c r="O15" s="38" t="s">
        <v>47</v>
      </c>
      <c r="P15" s="38"/>
      <c r="Q15" s="38" t="s">
        <v>44</v>
      </c>
      <c r="R15" s="38" t="s">
        <v>45</v>
      </c>
      <c r="S15" s="38" t="s">
        <v>48</v>
      </c>
      <c r="T15" s="38" t="s">
        <v>49</v>
      </c>
      <c r="U15" s="38" t="s">
        <v>50</v>
      </c>
    </row>
    <row r="16" spans="1:21" x14ac:dyDescent="0.3">
      <c r="A16" s="50"/>
      <c r="B16" s="36"/>
      <c r="C16" s="36"/>
      <c r="D16" s="36"/>
      <c r="E16" s="36"/>
      <c r="F16" s="36"/>
      <c r="G16" s="51"/>
      <c r="N16" s="36">
        <v>75</v>
      </c>
      <c r="O16" s="36" cm="1">
        <f t="array" ref="O16">callOptionPrice(N16,$C$3,$C$4,$C$5,$C$6,$C$7)</f>
        <v>0.37805961701512647</v>
      </c>
      <c r="P16" s="36"/>
      <c r="Q16" s="37">
        <f>callOptionDelta(N16,$C$3,$C$4,$C$5,$C$6,$C$7)</f>
        <v>6.9114465439780434E-2</v>
      </c>
      <c r="R16" s="36">
        <f>callOptionTheta(N16,$C$3,$C$4,$C$5,$C$6,$C$7)</f>
        <v>-5.0808946366940333E-3</v>
      </c>
      <c r="S16" s="36">
        <f>callOptionVega(N16,$C$3,$C$4,$C$5,$C$6,$C$7)</f>
        <v>3.665348039291402</v>
      </c>
      <c r="T16" s="36">
        <f>callOptionGamma(N16,$C$3,$C$4,$C$5,$C$6,$C$7)</f>
        <v>5.212939433658882E-3</v>
      </c>
      <c r="U16" s="36">
        <f>callOptionRho(N16,$C$3,$C$4,$C$5,$C$6,$C$7)</f>
        <v>2.402762645484203</v>
      </c>
    </row>
    <row r="17" spans="1:21" x14ac:dyDescent="0.3">
      <c r="A17" s="50"/>
      <c r="B17" s="36"/>
      <c r="C17" s="36"/>
      <c r="D17" s="36"/>
      <c r="E17" s="36"/>
      <c r="F17" s="36"/>
      <c r="G17" s="51"/>
      <c r="N17" s="36">
        <v>76</v>
      </c>
      <c r="O17" s="36" cm="1">
        <f t="array" ref="O17">callOptionPrice(N17,$C$3,$C$4,$C$5,$C$6,$C$7)</f>
        <v>0.45235389599188203</v>
      </c>
      <c r="P17" s="36"/>
      <c r="Q17" s="37">
        <f>callOptionDelta(N17,$C$3,$C$4,$C$5,$C$6,$C$7)</f>
        <v>7.9640722542252976E-2</v>
      </c>
      <c r="R17" s="36">
        <f t="shared" ref="R17:R66" si="0">callOptionTheta(N17,$C$3,$C$4,$C$5,$C$6,$C$7)</f>
        <v>-5.7487275573295804E-3</v>
      </c>
      <c r="S17" s="36">
        <f t="shared" ref="S17:S66" si="1">callOptionVega(N17,$C$3,$C$4,$C$5,$C$6,$C$7)</f>
        <v>4.2799016175849802</v>
      </c>
      <c r="T17" s="36">
        <f t="shared" ref="T17:T66" si="2">callOptionGamma(N17,$C$3,$C$4,$C$5,$C$6,$C$7)</f>
        <v>5.9278415756024647E-3</v>
      </c>
      <c r="U17" s="36">
        <f t="shared" ref="U17:U66" si="3">callOptionRho(N17,$C$3,$C$4,$C$5,$C$6,$C$7)</f>
        <v>2.8001705086096722</v>
      </c>
    </row>
    <row r="18" spans="1:21" x14ac:dyDescent="0.3">
      <c r="A18" s="50"/>
      <c r="B18" s="36"/>
      <c r="C18" s="36"/>
      <c r="D18" s="36"/>
      <c r="E18" s="36"/>
      <c r="F18" s="36"/>
      <c r="G18" s="51"/>
      <c r="N18" s="36">
        <v>77</v>
      </c>
      <c r="O18" s="36" cm="1">
        <f t="array" ref="O18">callOptionPrice(N18,$C$3,$C$4,$C$5,$C$6,$C$7)</f>
        <v>0.53767764752310665</v>
      </c>
      <c r="P18" s="36"/>
      <c r="Q18" s="37">
        <f t="shared" ref="Q18:Q26" si="4">callOptionDelta(N18,$C$3,$C$4,$C$5,$C$6,$C$7)</f>
        <v>9.1176429387279379E-2</v>
      </c>
      <c r="R18" s="36">
        <f t="shared" si="0"/>
        <v>-6.4587012131003263E-3</v>
      </c>
      <c r="S18" s="36">
        <f t="shared" si="1"/>
        <v>4.964303305817368</v>
      </c>
      <c r="T18" s="36">
        <f t="shared" si="2"/>
        <v>6.6983347017269251E-3</v>
      </c>
      <c r="U18" s="36">
        <f t="shared" si="3"/>
        <v>3.2414537076487027</v>
      </c>
    </row>
    <row r="19" spans="1:21" x14ac:dyDescent="0.3">
      <c r="A19" s="50"/>
      <c r="B19" s="36" t="s">
        <v>43</v>
      </c>
      <c r="C19" s="42">
        <f>C2*EXP(-C5*C7)*C14-C3*EXP(-C4*C7)*C15</f>
        <v>7.5168463739128555</v>
      </c>
      <c r="D19" s="43">
        <f>D2*EXP(-D5*D7)*D14-D3*EXP(-D4*D7)*D15</f>
        <v>7.4950561544884238</v>
      </c>
      <c r="E19" s="36"/>
      <c r="F19" s="36"/>
      <c r="G19" s="51" cm="1">
        <f t="array" ref="G19">callOptionPrice(C2,C3,C4,C5,C6,C7)</f>
        <v>7.5168463739128555</v>
      </c>
      <c r="N19" s="36">
        <v>78</v>
      </c>
      <c r="O19" s="36" cm="1">
        <f t="array" ref="O19">callOptionPrice(N19,$C$3,$C$4,$C$5,$C$6,$C$7)</f>
        <v>0.63504781881232297</v>
      </c>
      <c r="P19" s="36"/>
      <c r="Q19" s="37">
        <f t="shared" si="4"/>
        <v>0.10373500557587473</v>
      </c>
      <c r="R19" s="36">
        <f t="shared" si="0"/>
        <v>-7.2073028970089936E-3</v>
      </c>
      <c r="S19" s="36">
        <f t="shared" si="1"/>
        <v>5.7214346193517764</v>
      </c>
      <c r="T19" s="36">
        <f t="shared" si="2"/>
        <v>7.5232539373461882E-3</v>
      </c>
      <c r="U19" s="36">
        <f t="shared" si="3"/>
        <v>3.7281413080529529</v>
      </c>
    </row>
    <row r="20" spans="1:21" x14ac:dyDescent="0.3">
      <c r="A20" s="50"/>
      <c r="B20" s="36" t="s">
        <v>44</v>
      </c>
      <c r="C20" s="44">
        <f>EXP(-C5*C7)*C14</f>
        <v>0.55762754555777638</v>
      </c>
      <c r="D20" s="36"/>
      <c r="E20" s="36"/>
      <c r="F20" s="36"/>
      <c r="G20" s="52">
        <f>callOptionDelta(C2,C3,C4,C5,C6,C7)</f>
        <v>0.55762754555777638</v>
      </c>
      <c r="N20" s="36">
        <v>79</v>
      </c>
      <c r="O20" s="36" cm="1">
        <f t="array" ref="O20">callOptionPrice(N20,$C$3,$C$4,$C$5,$C$6,$C$7)</f>
        <v>0.74548997891078628</v>
      </c>
      <c r="P20" s="36"/>
      <c r="Q20" s="37">
        <f t="shared" si="4"/>
        <v>0.11732020982853981</v>
      </c>
      <c r="R20" s="36">
        <f t="shared" si="0"/>
        <v>-7.9902757542669178E-3</v>
      </c>
      <c r="S20" s="36">
        <f t="shared" si="1"/>
        <v>6.5536753592591426</v>
      </c>
      <c r="T20" s="36">
        <f t="shared" si="2"/>
        <v>8.4008016141761156E-3</v>
      </c>
      <c r="U20" s="36">
        <f t="shared" si="3"/>
        <v>4.2614032987719295</v>
      </c>
    </row>
    <row r="21" spans="1:21" x14ac:dyDescent="0.3">
      <c r="A21" s="50"/>
      <c r="B21" s="36"/>
      <c r="C21" s="36"/>
      <c r="D21" s="36"/>
      <c r="E21" s="36"/>
      <c r="F21" s="36"/>
      <c r="G21" s="51"/>
      <c r="N21" s="36">
        <v>80</v>
      </c>
      <c r="O21" s="36" cm="1">
        <f t="array" ref="O21">callOptionPrice(N21,$C$3,$C$4,$C$5,$C$6,$C$7)</f>
        <v>0.87002849410229643</v>
      </c>
      <c r="P21" s="36"/>
      <c r="Q21" s="37">
        <f t="shared" si="4"/>
        <v>0.13192584506162072</v>
      </c>
      <c r="R21" s="36">
        <f t="shared" si="0"/>
        <v>-8.8026792609987581E-3</v>
      </c>
      <c r="S21" s="36">
        <f t="shared" si="1"/>
        <v>7.4628527725470262</v>
      </c>
      <c r="T21" s="36">
        <f t="shared" si="2"/>
        <v>9.3285659656837817E-3</v>
      </c>
      <c r="U21" s="36">
        <f t="shared" si="3"/>
        <v>4.8420195554136809</v>
      </c>
    </row>
    <row r="22" spans="1:21" x14ac:dyDescent="0.3">
      <c r="A22" s="50"/>
      <c r="B22" s="36" t="s">
        <v>45</v>
      </c>
      <c r="C22" s="45">
        <f>D19-C19</f>
        <v>-2.1790219424431712E-2</v>
      </c>
      <c r="D22" s="36"/>
      <c r="E22" s="36"/>
      <c r="F22" s="36"/>
      <c r="G22" s="51" cm="1">
        <f t="array" ref="G22">callOptionTheta(C2,C3,C4,C5,C6,C7)</f>
        <v>-2.1790219424431712E-2</v>
      </c>
      <c r="N22" s="36">
        <v>81</v>
      </c>
      <c r="O22" s="36" cm="1">
        <f t="array" ref="O22">callOptionPrice(N22,$C$3,$C$4,$C$5,$C$6,$C$7)</f>
        <v>1.0096765064874997</v>
      </c>
      <c r="P22" s="36"/>
      <c r="Q22" s="37">
        <f t="shared" si="4"/>
        <v>0.14753565999367957</v>
      </c>
      <c r="R22" s="36">
        <f t="shared" si="0"/>
        <v>-9.638966790234349E-3</v>
      </c>
      <c r="S22" s="36">
        <f t="shared" si="1"/>
        <v>8.4502007175174558</v>
      </c>
      <c r="T22" s="36">
        <f t="shared" si="2"/>
        <v>1.0303552162801348E-2</v>
      </c>
      <c r="U22" s="36">
        <f t="shared" si="3"/>
        <v>5.4703559765002723</v>
      </c>
    </row>
    <row r="23" spans="1:21" x14ac:dyDescent="0.3">
      <c r="A23" s="50"/>
      <c r="B23" s="36"/>
      <c r="C23" s="36"/>
      <c r="D23" s="36"/>
      <c r="E23" s="36"/>
      <c r="F23" s="36"/>
      <c r="G23" s="51"/>
      <c r="N23" s="36">
        <v>82</v>
      </c>
      <c r="O23" s="36" cm="1">
        <f t="array" ref="O23">callOptionPrice(N23,$C$3,$C$4,$C$5,$C$6,$C$7)</f>
        <v>1.1654259121543795</v>
      </c>
      <c r="P23" s="36"/>
      <c r="Q23" s="37">
        <f t="shared" si="4"/>
        <v>0.16412344601313938</v>
      </c>
      <c r="R23" s="36">
        <f t="shared" si="0"/>
        <v>-1.0493077797272932E-2</v>
      </c>
      <c r="S23" s="36">
        <f t="shared" si="1"/>
        <v>9.5163297334627988</v>
      </c>
      <c r="T23" s="36">
        <f t="shared" si="2"/>
        <v>1.1322224549033666E-2</v>
      </c>
      <c r="U23" s="36">
        <f t="shared" si="3"/>
        <v>6.1463483304615254</v>
      </c>
    </row>
    <row r="24" spans="1:21" x14ac:dyDescent="0.3">
      <c r="A24" s="50"/>
      <c r="B24" s="36" t="s">
        <v>48</v>
      </c>
      <c r="C24" s="36"/>
      <c r="D24" s="36"/>
      <c r="E24" s="36"/>
      <c r="F24" s="36"/>
      <c r="G24" s="51">
        <f>callOptionVega(C2,C3,C4,C5,C6,C7)</f>
        <v>39.430221884031418</v>
      </c>
      <c r="N24" s="36">
        <v>83</v>
      </c>
      <c r="O24" s="36" cm="1">
        <f t="array" ref="O24">callOptionPrice(N24,$C$3,$C$4,$C$5,$C$6,$C$7)</f>
        <v>1.3382375311798977</v>
      </c>
      <c r="P24" s="36"/>
      <c r="Q24" s="37">
        <f t="shared" si="4"/>
        <v>0.18165332237285442</v>
      </c>
      <c r="R24" s="36">
        <f t="shared" si="0"/>
        <v>-1.1358541748311524E-2</v>
      </c>
      <c r="S24" s="36">
        <f t="shared" si="1"/>
        <v>10.661208574217643</v>
      </c>
      <c r="T24" s="36">
        <f t="shared" si="2"/>
        <v>1.2380558657822779E-2</v>
      </c>
      <c r="U24" s="36">
        <f t="shared" si="3"/>
        <v>6.8694941128835092</v>
      </c>
    </row>
    <row r="25" spans="1:21" x14ac:dyDescent="0.3">
      <c r="A25" s="50"/>
      <c r="B25" s="36" t="s">
        <v>49</v>
      </c>
      <c r="C25" s="36"/>
      <c r="D25" s="36"/>
      <c r="E25" s="36"/>
      <c r="F25" s="36"/>
      <c r="G25" s="51">
        <f>callOptionGamma(C2,C3,C4,C5,C6,C7)</f>
        <v>3.154417750722513E-2</v>
      </c>
      <c r="N25" s="36">
        <v>84</v>
      </c>
      <c r="O25" s="36" cm="1">
        <f t="array" ref="O25">callOptionPrice(N25,$C$3,$C$4,$C$5,$C$6,$C$7)</f>
        <v>1.5290316521720317</v>
      </c>
      <c r="P25" s="36"/>
      <c r="Q25" s="37">
        <f t="shared" si="4"/>
        <v>0.20008019768304286</v>
      </c>
      <c r="R25" s="36">
        <f t="shared" si="0"/>
        <v>-1.2228590639743686E-2</v>
      </c>
      <c r="S25" s="36">
        <f t="shared" si="1"/>
        <v>11.884157423277264</v>
      </c>
      <c r="T25" s="36">
        <f t="shared" si="2"/>
        <v>1.3474101386935671E-2</v>
      </c>
      <c r="U25" s="36">
        <f t="shared" si="3"/>
        <v>7.6388524766017847</v>
      </c>
    </row>
    <row r="26" spans="1:21" ht="15" thickBot="1" x14ac:dyDescent="0.35">
      <c r="A26" s="53"/>
      <c r="B26" s="54" t="s">
        <v>50</v>
      </c>
      <c r="C26" s="54"/>
      <c r="D26" s="54"/>
      <c r="E26" s="54"/>
      <c r="F26" s="54"/>
      <c r="G26" s="55">
        <f>callOptionRho(C2,C3,C4,C5,C6,C7)</f>
        <v>24.122954090932392</v>
      </c>
      <c r="N26" s="36">
        <v>85</v>
      </c>
      <c r="O26" s="36" cm="1">
        <f t="array" ref="O26">callOptionPrice(N26,$C$3,$C$4,$C$5,$C$6,$C$7)</f>
        <v>1.7386791197812919</v>
      </c>
      <c r="P26" s="36"/>
      <c r="Q26" s="37">
        <f t="shared" si="4"/>
        <v>0.21935039130214715</v>
      </c>
      <c r="R26" s="36">
        <f t="shared" si="0"/>
        <v>-1.3096276812060381E-2</v>
      </c>
      <c r="S26" s="36">
        <f t="shared" si="1"/>
        <v>13.183852677382031</v>
      </c>
      <c r="T26" s="36">
        <f t="shared" si="2"/>
        <v>1.4598037566651382E-2</v>
      </c>
      <c r="U26" s="36">
        <f t="shared" si="3"/>
        <v>8.4530520704506085</v>
      </c>
    </row>
    <row r="27" spans="1:21" x14ac:dyDescent="0.3">
      <c r="N27" s="36">
        <v>86</v>
      </c>
      <c r="O27" s="36" cm="1">
        <f t="array" ref="O27">callOptionPrice(N27,$C$3,$C$4,$C$5,$C$6,$C$7)</f>
        <v>1.9679931153661947</v>
      </c>
      <c r="P27" s="36"/>
      <c r="Q27" s="37">
        <f>callOptionDelta(N27,$C$3,$C$4,$C$5,$C$6,$C$7)</f>
        <v>0.23940239468087968</v>
      </c>
      <c r="R27" s="36">
        <f t="shared" si="0"/>
        <v>-1.3954592748739003E-2</v>
      </c>
      <c r="S27" s="36">
        <f t="shared" si="1"/>
        <v>14.558342877158752</v>
      </c>
      <c r="T27" s="36">
        <f t="shared" si="2"/>
        <v>1.5747261089409142E-2</v>
      </c>
      <c r="U27" s="36">
        <f t="shared" si="3"/>
        <v>9.3103064135947289</v>
      </c>
    </row>
    <row r="28" spans="1:21" x14ac:dyDescent="0.3">
      <c r="N28" s="36">
        <v>87</v>
      </c>
      <c r="O28" s="36" cm="1">
        <f t="array" ref="O28">callOptionPrice(N28,$C$3,$C$4,$C$5,$C$6,$C$7)</f>
        <v>2.2177217596489669</v>
      </c>
      <c r="P28" s="36"/>
      <c r="Q28" s="37">
        <f>callOptionDelta(N28,$C$3,$C$4,$C$5,$C$6,$C$7)</f>
        <v>0.26016775005777476</v>
      </c>
      <c r="R28" s="36">
        <f t="shared" si="0"/>
        <v>-1.4796589657294135E-2</v>
      </c>
      <c r="S28" s="36">
        <f t="shared" si="1"/>
        <v>16.005075087135243</v>
      </c>
      <c r="T28" s="36">
        <f t="shared" si="2"/>
        <v>1.6916448764312579E-2</v>
      </c>
      <c r="U28" s="36">
        <f t="shared" si="3"/>
        <v>10.208436247688718</v>
      </c>
    </row>
    <row r="29" spans="1:21" x14ac:dyDescent="0.3">
      <c r="N29" s="36">
        <v>88</v>
      </c>
      <c r="O29" s="36" cm="1">
        <f t="array" ref="O29">callOptionPrice(N29,$C$3,$C$4,$C$5,$C$6,$C$7)</f>
        <v>2.4885416426441829</v>
      </c>
      <c r="P29" s="36"/>
      <c r="Q29" s="37">
        <f t="shared" ref="Q29:Q66" si="5">callOptionDelta(N29,$C$3,$C$4,$C$5,$C$6,$C$7)</f>
        <v>0.28157202215194294</v>
      </c>
      <c r="R29" s="36">
        <f t="shared" si="0"/>
        <v>-1.5615491839938045E-2</v>
      </c>
      <c r="S29" s="36">
        <f t="shared" si="1"/>
        <v>17.520930790532194</v>
      </c>
      <c r="T29" s="36">
        <f t="shared" si="2"/>
        <v>1.8100135114186146E-2</v>
      </c>
      <c r="U29" s="36">
        <f t="shared" si="3"/>
        <v>11.144898153363398</v>
      </c>
    </row>
    <row r="30" spans="1:21" x14ac:dyDescent="0.3">
      <c r="N30" s="36">
        <v>89</v>
      </c>
      <c r="O30" s="36" cm="1">
        <f t="array" ref="O30">callOptionPrice(N30,$C$3,$C$4,$C$5,$C$6,$C$7)</f>
        <v>2.7810523612826081</v>
      </c>
      <c r="P30" s="36"/>
      <c r="Q30" s="37">
        <f t="shared" si="5"/>
        <v>0.30353583762899627</v>
      </c>
      <c r="R30" s="36">
        <f t="shared" si="0"/>
        <v>-1.6404804161574305E-2</v>
      </c>
      <c r="S30" s="36">
        <f t="shared" si="1"/>
        <v>19.102270171733586</v>
      </c>
      <c r="T30" s="36">
        <f t="shared" si="2"/>
        <v>1.9292786437806929E-2</v>
      </c>
      <c r="U30" s="36">
        <f t="shared" si="3"/>
        <v>12.116818593849031</v>
      </c>
    </row>
    <row r="31" spans="1:21" x14ac:dyDescent="0.3">
      <c r="N31" s="36">
        <v>90</v>
      </c>
      <c r="O31" s="36" cm="1">
        <f t="array" ref="O31">callOptionPrice(N31,$C$3,$C$4,$C$5,$C$6,$C$7)</f>
        <v>3.0957721198418149</v>
      </c>
      <c r="P31" s="36"/>
      <c r="Q31" s="37">
        <f t="shared" si="5"/>
        <v>0.32597596707515175</v>
      </c>
      <c r="R31" s="36">
        <f t="shared" si="0"/>
        <v>-1.7158410290186055E-2</v>
      </c>
      <c r="S31" s="36">
        <f t="shared" si="1"/>
        <v>20.744983514041433</v>
      </c>
      <c r="T31" s="36">
        <f t="shared" si="2"/>
        <v>2.0488872606460672E-2</v>
      </c>
      <c r="U31" s="36">
        <f t="shared" si="3"/>
        <v>13.121032458460922</v>
      </c>
    </row>
    <row r="32" spans="1:21" x14ac:dyDescent="0.3">
      <c r="N32" s="36">
        <v>91</v>
      </c>
      <c r="O32" s="36" cm="1">
        <f t="array" ref="O32">callOptionPrice(N32,$C$3,$C$4,$C$5,$C$6,$C$7)</f>
        <v>3.4331344233251109</v>
      </c>
      <c r="P32" s="36"/>
      <c r="Q32" s="37">
        <f t="shared" si="5"/>
        <v>0.34880642492206004</v>
      </c>
      <c r="R32" s="36">
        <f t="shared" si="0"/>
        <v>-1.7870659799996247E-2</v>
      </c>
      <c r="S32" s="36">
        <f t="shared" si="1"/>
        <v>22.44454834292808</v>
      </c>
      <c r="T32" s="36">
        <f t="shared" si="2"/>
        <v>2.1682935242534066E-2</v>
      </c>
      <c r="U32" s="36">
        <f t="shared" si="3"/>
        <v>14.154125122291177</v>
      </c>
    </row>
    <row r="33" spans="14:21" x14ac:dyDescent="0.3">
      <c r="N33" s="36">
        <v>92</v>
      </c>
      <c r="O33" s="36" cm="1">
        <f t="array" ref="O33">callOptionPrice(N33,$C$3,$C$4,$C$5,$C$6,$C$7)</f>
        <v>3.7934858700022076</v>
      </c>
      <c r="P33" s="36"/>
      <c r="Q33" s="37">
        <f t="shared" si="5"/>
        <v>0.37193956412136003</v>
      </c>
      <c r="R33" s="36">
        <f t="shared" si="0"/>
        <v>-1.8536442672360209E-2</v>
      </c>
      <c r="S33" s="36">
        <f t="shared" si="1"/>
        <v>24.196090894323984</v>
      </c>
      <c r="T33" s="36">
        <f t="shared" si="2"/>
        <v>2.2869651128850643E-2</v>
      </c>
      <c r="U33" s="36">
        <f t="shared" si="3"/>
        <v>15.212477014581459</v>
      </c>
    </row>
    <row r="34" spans="14:21" x14ac:dyDescent="0.3">
      <c r="N34" s="36">
        <v>93</v>
      </c>
      <c r="O34" s="36" cm="1">
        <f t="array" ref="O34">callOptionPrice(N34,$C$3,$C$4,$C$5,$C$6,$C$7)</f>
        <v>4.1770850270299533</v>
      </c>
      <c r="P34" s="36"/>
      <c r="Q34" s="37">
        <f t="shared" si="5"/>
        <v>0.39528714426112821</v>
      </c>
      <c r="R34" s="36">
        <f t="shared" si="0"/>
        <v>-1.9151250180883039E-2</v>
      </c>
      <c r="S34" s="36">
        <f t="shared" si="1"/>
        <v>25.994450480730521</v>
      </c>
      <c r="T34" s="36">
        <f t="shared" si="2"/>
        <v>2.4043889911648068E-2</v>
      </c>
      <c r="U34" s="36">
        <f t="shared" si="3"/>
        <v>16.292309694627484</v>
      </c>
    </row>
    <row r="35" spans="14:21" x14ac:dyDescent="0.3">
      <c r="N35" s="36">
        <v>94</v>
      </c>
      <c r="O35" s="36" cm="1">
        <f t="array" ref="O35">callOptionPrice(N35,$C$3,$C$4,$C$5,$C$6,$C$7)</f>
        <v>4.5841023528905254</v>
      </c>
      <c r="P35" s="36"/>
      <c r="Q35" s="37">
        <f t="shared" si="5"/>
        <v>0.41876135412789567</v>
      </c>
      <c r="R35" s="36">
        <f t="shared" si="0"/>
        <v>-1.9711221593304629E-2</v>
      </c>
      <c r="S35" s="36">
        <f t="shared" si="1"/>
        <v>27.834245361053451</v>
      </c>
      <c r="T35" s="36">
        <f t="shared" si="2"/>
        <v>2.5200765378952869E-2</v>
      </c>
      <c r="U35" s="36">
        <f t="shared" si="3"/>
        <v>17.389732467565835</v>
      </c>
    </row>
    <row r="36" spans="14:21" x14ac:dyDescent="0.3">
      <c r="N36" s="36">
        <v>95</v>
      </c>
      <c r="O36" s="36" cm="1">
        <f t="array" ref="O36">callOptionPrice(N36,$C$3,$C$4,$C$5,$C$6,$C$7)</f>
        <v>5.0146211126722946</v>
      </c>
      <c r="P36" s="36"/>
      <c r="Q36" s="37">
        <f t="shared" si="5"/>
        <v>0.44227577232872206</v>
      </c>
      <c r="R36" s="36">
        <f t="shared" si="0"/>
        <v>-2.0213176542753786E-2</v>
      </c>
      <c r="S36" s="36">
        <f t="shared" si="1"/>
        <v>29.709938787974917</v>
      </c>
      <c r="T36" s="36">
        <f t="shared" si="2"/>
        <v>2.6335679812055323E-2</v>
      </c>
      <c r="U36" s="36">
        <f t="shared" si="3"/>
        <v>18.500788629278151</v>
      </c>
    </row>
    <row r="37" spans="14:21" x14ac:dyDescent="0.3">
      <c r="N37" s="36">
        <v>96</v>
      </c>
      <c r="O37" s="36" cm="1">
        <f t="array" ref="O37">callOptionPrice(N37,$C$3,$C$4,$C$5,$C$6,$C$7)</f>
        <v>5.4686392172212805</v>
      </c>
      <c r="P37" s="36"/>
      <c r="Q37" s="37">
        <f t="shared" si="5"/>
        <v>0.46574625238323081</v>
      </c>
      <c r="R37" s="36">
        <f t="shared" si="0"/>
        <v>-2.0654633309142412E-2</v>
      </c>
      <c r="S37" s="36">
        <f t="shared" si="1"/>
        <v>31.61590400375076</v>
      </c>
      <c r="T37" s="36">
        <f t="shared" si="2"/>
        <v>2.7444361114366975E-2</v>
      </c>
      <c r="U37" s="36">
        <f t="shared" si="3"/>
        <v>19.621500505784439</v>
      </c>
    </row>
    <row r="38" spans="14:21" x14ac:dyDescent="0.3">
      <c r="N38" s="36">
        <v>97</v>
      </c>
      <c r="O38" s="36" cm="1">
        <f t="array" ref="O38">callOptionPrice(N38,$C$3,$C$4,$C$5,$C$6,$C$7)</f>
        <v>5.9460719050341169</v>
      </c>
      <c r="P38" s="36"/>
      <c r="Q38" s="37">
        <f t="shared" si="5"/>
        <v>0.48909172156895969</v>
      </c>
      <c r="R38" s="36">
        <f t="shared" si="0"/>
        <v>-2.1033813592673312E-2</v>
      </c>
      <c r="S38" s="36">
        <f t="shared" si="1"/>
        <v>33.546487075530585</v>
      </c>
      <c r="T38" s="36">
        <f t="shared" si="2"/>
        <v>2.8522892613906326E-2</v>
      </c>
      <c r="U38" s="36">
        <f t="shared" si="3"/>
        <v>20.747912543577488</v>
      </c>
    </row>
    <row r="39" spans="14:21" x14ac:dyDescent="0.3">
      <c r="N39" s="36">
        <v>98</v>
      </c>
      <c r="O39" s="36" cm="1">
        <f t="array" ref="O39">callOptionPrice(N39,$C$3,$C$4,$C$5,$C$6,$C$7)</f>
        <v>6.4467551764810338</v>
      </c>
      <c r="P39" s="36"/>
      <c r="Q39" s="37">
        <f t="shared" si="5"/>
        <v>0.5122348856593798</v>
      </c>
      <c r="R39" s="36">
        <f t="shared" si="0"/>
        <v>-2.1349634653759608E-2</v>
      </c>
      <c r="S39" s="36">
        <f t="shared" si="1"/>
        <v>35.496066598586204</v>
      </c>
      <c r="T39" s="36">
        <f t="shared" si="2"/>
        <v>2.9567735608984753E-2</v>
      </c>
      <c r="U39" s="36">
        <f t="shared" si="3"/>
        <v>21.876131809069093</v>
      </c>
    </row>
    <row r="40" spans="14:21" x14ac:dyDescent="0.3">
      <c r="N40" s="36">
        <v>99</v>
      </c>
      <c r="O40" s="36" cm="1">
        <f t="array" ref="O40">callOptionPrice(N40,$C$3,$C$4,$C$5,$C$6,$C$7)</f>
        <v>6.9704498834753679</v>
      </c>
      <c r="P40" s="36"/>
      <c r="Q40" s="37">
        <f t="shared" si="5"/>
        <v>0.53510283445017537</v>
      </c>
      <c r="R40" s="36">
        <f t="shared" si="0"/>
        <v>-2.1601689930342616E-2</v>
      </c>
      <c r="S40" s="36">
        <f t="shared" si="1"/>
        <v>37.459109444314294</v>
      </c>
      <c r="T40" s="36">
        <f t="shared" si="2"/>
        <v>3.0575744878534258E-2</v>
      </c>
      <c r="U40" s="36">
        <f t="shared" si="3"/>
        <v>23.002365363545998</v>
      </c>
    </row>
    <row r="41" spans="14:21" x14ac:dyDescent="0.3">
      <c r="N41" s="36">
        <v>100</v>
      </c>
      <c r="O41" s="36" cm="1">
        <f t="array" ref="O41">callOptionPrice(N41,$C$3,$C$4,$C$5,$C$6,$C$7)</f>
        <v>7.5168463739128555</v>
      </c>
      <c r="P41" s="36"/>
      <c r="Q41" s="37">
        <f t="shared" si="5"/>
        <v>0.55762754555777638</v>
      </c>
      <c r="R41" s="36">
        <f t="shared" si="0"/>
        <v>-2.1790219424431712E-2</v>
      </c>
      <c r="S41" s="36">
        <f t="shared" si="1"/>
        <v>39.430221884031418</v>
      </c>
      <c r="T41" s="36">
        <f t="shared" si="2"/>
        <v>3.154417750722513E-2</v>
      </c>
      <c r="U41" s="36">
        <f t="shared" si="3"/>
        <v>24.122954090932392</v>
      </c>
    </row>
    <row r="42" spans="14:21" x14ac:dyDescent="0.3">
      <c r="N42" s="36">
        <v>101</v>
      </c>
      <c r="O42" s="36" cm="1">
        <f t="array" ref="O42">callOptionPrice(N42,$C$3,$C$4,$C$5,$C$6,$C$7)</f>
        <v>8.085569588891552</v>
      </c>
      <c r="P42" s="36"/>
      <c r="Q42" s="37">
        <f t="shared" si="5"/>
        <v>0.57974628634128944</v>
      </c>
      <c r="R42" s="36">
        <f t="shared" si="0"/>
        <v>-2.1916071276613991E-2</v>
      </c>
      <c r="S42" s="36">
        <f t="shared" si="1"/>
        <v>41.404195574404014</v>
      </c>
      <c r="T42" s="36">
        <f t="shared" si="2"/>
        <v>3.2470695480367816E-2</v>
      </c>
      <c r="U42" s="36">
        <f t="shared" si="3"/>
        <v>25.234402665789339</v>
      </c>
    </row>
    <row r="43" spans="14:21" x14ac:dyDescent="0.3">
      <c r="N43" s="36">
        <v>102</v>
      </c>
      <c r="O43" s="36" cm="1">
        <f t="array" ref="O43">callOptionPrice(N43,$C$3,$C$4,$C$5,$C$6,$C$7)</f>
        <v>8.6761845116508312</v>
      </c>
      <c r="P43" s="36"/>
      <c r="Q43" s="37">
        <f t="shared" si="5"/>
        <v>0.60140191590586756</v>
      </c>
      <c r="R43" s="36">
        <f t="shared" si="0"/>
        <v>-2.1980656019970013E-2</v>
      </c>
      <c r="S43" s="36">
        <f t="shared" si="1"/>
        <v>43.376048041473318</v>
      </c>
      <c r="T43" s="36">
        <f t="shared" si="2"/>
        <v>3.3353362584754569E-2</v>
      </c>
      <c r="U43" s="36">
        <f t="shared" si="3"/>
        <v>26.333405455373828</v>
      </c>
    </row>
    <row r="44" spans="14:21" x14ac:dyDescent="0.3">
      <c r="N44" s="36">
        <v>103</v>
      </c>
      <c r="O44" s="36" cm="1">
        <f t="array" ref="O44">callOptionPrice(N44,$C$3,$C$4,$C$5,$C$6,$C$7)</f>
        <v>9.2882018700610729</v>
      </c>
      <c r="P44" s="36"/>
      <c r="Q44" s="37">
        <f t="shared" si="5"/>
        <v>0.62254309096677285</v>
      </c>
      <c r="R44" s="36">
        <f t="shared" si="0"/>
        <v>-2.1985895031349401E-2</v>
      </c>
      <c r="S44" s="36">
        <f t="shared" si="1"/>
        <v>45.341057443954199</v>
      </c>
      <c r="T44" s="36">
        <f t="shared" si="2"/>
        <v>3.4190636209975825E-2</v>
      </c>
      <c r="U44" s="36">
        <f t="shared" si="3"/>
        <v>27.416868249758267</v>
      </c>
    </row>
    <row r="45" spans="14:21" x14ac:dyDescent="0.3">
      <c r="N45" s="36">
        <v>104</v>
      </c>
      <c r="O45" s="36" cm="1">
        <f t="array" ref="O45">callOptionPrice(N45,$C$3,$C$4,$C$5,$C$6,$C$7)</f>
        <v>9.9210839990614375</v>
      </c>
      <c r="P45" s="36"/>
      <c r="Q45" s="37">
        <f t="shared" si="5"/>
        <v>0.64312438087590484</v>
      </c>
      <c r="R45" s="36">
        <f t="shared" si="0"/>
        <v>-2.1934164679848323E-2</v>
      </c>
      <c r="S45" s="36">
        <f t="shared" si="1"/>
        <v>47.294791529830242</v>
      </c>
      <c r="T45" s="36">
        <f t="shared" si="2"/>
        <v>3.4981354681827094E-2</v>
      </c>
      <c r="U45" s="36">
        <f t="shared" si="3"/>
        <v>28.481925806016335</v>
      </c>
    </row>
    <row r="46" spans="14:21" x14ac:dyDescent="0.3">
      <c r="N46" s="36">
        <v>105</v>
      </c>
      <c r="O46" s="36" cm="1">
        <f t="array" ref="O46">callOptionPrice(N46,$C$3,$C$4,$C$5,$C$6,$C$7)</f>
        <v>10.574250775380506</v>
      </c>
      <c r="P46" s="36"/>
      <c r="Q46" s="37">
        <f t="shared" si="5"/>
        <v>0.66310629833433454</v>
      </c>
      <c r="R46" s="36">
        <f t="shared" si="0"/>
        <v>-2.1828237618059632E-2</v>
      </c>
      <c r="S46" s="36">
        <f t="shared" si="1"/>
        <v>49.233130820970374</v>
      </c>
      <c r="T46" s="36">
        <f t="shared" si="2"/>
        <v>3.5724720777121355E-2</v>
      </c>
      <c r="U46" s="36">
        <f t="shared" si="3"/>
        <v>29.525955274862312</v>
      </c>
    </row>
    <row r="47" spans="14:21" x14ac:dyDescent="0.3">
      <c r="N47" s="36">
        <v>106</v>
      </c>
      <c r="O47" s="36" cm="1">
        <f t="array" ref="O47">callOptionPrice(N47,$C$3,$C$4,$C$5,$C$6,$C$7)</f>
        <v>11.247085543885987</v>
      </c>
      <c r="P47" s="36"/>
      <c r="Q47" s="37">
        <f t="shared" si="5"/>
        <v>0.68245525324263967</v>
      </c>
      <c r="R47" s="36">
        <f t="shared" si="0"/>
        <v>-2.1671222575967874E-2</v>
      </c>
      <c r="S47" s="36">
        <f t="shared" si="1"/>
        <v>51.152286166970825</v>
      </c>
      <c r="T47" s="36">
        <f t="shared" si="2"/>
        <v>3.6420282069754943E-2</v>
      </c>
      <c r="U47" s="36">
        <f t="shared" si="3"/>
        <v>30.546585649916906</v>
      </c>
    </row>
    <row r="48" spans="14:21" x14ac:dyDescent="0.3">
      <c r="N48" s="36">
        <v>107</v>
      </c>
      <c r="O48" s="36" cm="1">
        <f t="array" ref="O48">callOptionPrice(N48,$C$3,$C$4,$C$5,$C$6,$C$7)</f>
        <v>11.938940962709459</v>
      </c>
      <c r="P48" s="36"/>
      <c r="Q48" s="37">
        <f t="shared" si="5"/>
        <v>0.70114343779045751</v>
      </c>
      <c r="R48" s="36">
        <f t="shared" si="0"/>
        <v>-2.146650390800886E-2</v>
      </c>
      <c r="S48" s="36">
        <f t="shared" si="1"/>
        <v>53.048810900730643</v>
      </c>
      <c r="T48" s="36">
        <f t="shared" si="2"/>
        <v>3.7067908743632208E-2</v>
      </c>
      <c r="U48" s="36">
        <f t="shared" si="3"/>
        <v>31.541703440434748</v>
      </c>
    </row>
    <row r="49" spans="14:21" x14ac:dyDescent="0.3">
      <c r="N49" s="36">
        <v>108</v>
      </c>
      <c r="O49" s="36" cm="1">
        <f t="array" ref="O49">callOptionPrice(N49,$C$3,$C$4,$C$5,$C$6,$C$7)</f>
        <v>12.649144702608808</v>
      </c>
      <c r="P49" s="36"/>
      <c r="Q49" s="37">
        <f t="shared" si="5"/>
        <v>0.71914865127842764</v>
      </c>
      <c r="R49" s="36">
        <f t="shared" si="0"/>
        <v>-2.1217682015603145E-2</v>
      </c>
      <c r="S49" s="36">
        <f t="shared" si="1"/>
        <v>54.919607904014683</v>
      </c>
      <c r="T49" s="36">
        <f t="shared" si="2"/>
        <v>3.7667769481491545E-2</v>
      </c>
      <c r="U49" s="36">
        <f t="shared" si="3"/>
        <v>32.509454817730692</v>
      </c>
    </row>
    <row r="50" spans="14:21" x14ac:dyDescent="0.3">
      <c r="N50" s="36">
        <v>109</v>
      </c>
      <c r="O50" s="36" cm="1">
        <f t="array" ref="O50">callOptionPrice(N50,$C$3,$C$4,$C$5,$C$6,$C$7)</f>
        <v>13.377004944623195</v>
      </c>
      <c r="P50" s="36"/>
      <c r="Q50" s="37">
        <f t="shared" si="5"/>
        <v>0.7364540733247178</v>
      </c>
      <c r="R50" s="36">
        <f t="shared" si="0"/>
        <v>-2.0928515627772981E-2</v>
      </c>
      <c r="S50" s="36">
        <f t="shared" si="1"/>
        <v>56.761931951559554</v>
      </c>
      <c r="T50" s="36">
        <f t="shared" si="2"/>
        <v>3.8220306002228463E-2</v>
      </c>
      <c r="U50" s="36">
        <f t="shared" si="3"/>
        <v>33.448244523885521</v>
      </c>
    </row>
    <row r="51" spans="14:21" x14ac:dyDescent="0.3">
      <c r="N51" s="36">
        <v>110</v>
      </c>
      <c r="O51" s="36" cm="1">
        <f t="array" ref="O51">callOptionPrice(N51,$C$3,$C$4,$C$5,$C$6,$C$7)</f>
        <v>14.121815628719347</v>
      </c>
      <c r="P51" s="36"/>
      <c r="Q51" s="37">
        <f t="shared" si="5"/>
        <v>0.75304799406250789</v>
      </c>
      <c r="R51" s="36">
        <f t="shared" si="0"/>
        <v>-2.0602866775462303E-2</v>
      </c>
      <c r="S51" s="36">
        <f t="shared" si="1"/>
        <v>58.573387747657897</v>
      </c>
      <c r="T51" s="36">
        <f t="shared" si="2"/>
        <v>3.8726206775311002E-2</v>
      </c>
      <c r="U51" s="36">
        <f t="shared" si="3"/>
        <v>34.356731859078259</v>
      </c>
    </row>
    <row r="52" spans="14:21" x14ac:dyDescent="0.3">
      <c r="N52" s="36">
        <v>111</v>
      </c>
      <c r="O52" s="36" cm="1">
        <f t="array" ref="O52">callOptionPrice(N52,$C$3,$C$4,$C$5,$C$6,$C$7)</f>
        <v>14.882861414638029</v>
      </c>
      <c r="P52" s="36"/>
      <c r="Q52" s="37">
        <f t="shared" si="5"/>
        <v>0.76892350971360912</v>
      </c>
      <c r="R52" s="36">
        <f t="shared" si="0"/>
        <v>-2.0244649147159066E-2</v>
      </c>
      <c r="S52" s="36">
        <f t="shared" si="1"/>
        <v>60.351924100480112</v>
      </c>
      <c r="T52" s="36">
        <f t="shared" si="2"/>
        <v>3.9186380391513738E-2</v>
      </c>
      <c r="U52" s="36">
        <f t="shared" si="3"/>
        <v>35.233824081786295</v>
      </c>
    </row>
    <row r="53" spans="14:21" x14ac:dyDescent="0.3">
      <c r="N53" s="36">
        <v>112</v>
      </c>
      <c r="O53" s="36" cm="1">
        <f t="array" ref="O53">callOptionPrice(N53,$C$3,$C$4,$C$5,$C$6,$C$7)</f>
        <v>15.659422324361785</v>
      </c>
      <c r="P53" s="36"/>
      <c r="Q53" s="37">
        <f t="shared" si="5"/>
        <v>0.78407819155656611</v>
      </c>
      <c r="R53" s="36">
        <f t="shared" si="0"/>
        <v>-1.9857780366947964E-2</v>
      </c>
      <c r="S53" s="36">
        <f t="shared" si="1"/>
        <v>62.095824697774866</v>
      </c>
      <c r="T53" s="36">
        <f t="shared" si="2"/>
        <v>3.9601929016438046E-2</v>
      </c>
      <c r="U53" s="36">
        <f t="shared" si="3"/>
        <v>36.078667564986809</v>
      </c>
    </row>
    <row r="54" spans="14:21" x14ac:dyDescent="0.3">
      <c r="N54" s="36">
        <v>113</v>
      </c>
      <c r="O54" s="36" cm="1">
        <f t="array" ref="O54">callOptionPrice(N54,$C$3,$C$4,$C$5,$C$6,$C$7)</f>
        <v>16.45077804341031</v>
      </c>
      <c r="P54" s="36"/>
      <c r="Q54" s="37">
        <f t="shared" si="5"/>
        <v>0.7985137358243104</v>
      </c>
      <c r="R54" s="36">
        <f t="shared" si="0"/>
        <v>-1.9446138596279638E-2</v>
      </c>
      <c r="S54" s="36">
        <f t="shared" si="1"/>
        <v>63.803695954332987</v>
      </c>
      <c r="T54" s="36">
        <f t="shared" si="2"/>
        <v>3.9974122298900759E-2</v>
      </c>
      <c r="U54" s="36">
        <f t="shared" si="3"/>
        <v>36.890637052368383</v>
      </c>
    </row>
    <row r="55" spans="14:21" x14ac:dyDescent="0.3">
      <c r="N55" s="36">
        <v>114</v>
      </c>
      <c r="O55" s="36" cm="1">
        <f t="array" ref="O55">callOptionPrice(N55,$C$3,$C$4,$C$5,$C$6,$C$7)</f>
        <v>17.256211865425016</v>
      </c>
      <c r="P55" s="36"/>
      <c r="Q55" s="37">
        <f t="shared" si="5"/>
        <v>0.81223560149449348</v>
      </c>
      <c r="R55" s="36">
        <f t="shared" si="0"/>
        <v>-1.9013523728943937E-2</v>
      </c>
      <c r="S55" s="36">
        <f t="shared" si="1"/>
        <v>65.474452398119539</v>
      </c>
      <c r="T55" s="36">
        <f t="shared" si="2"/>
        <v>4.0304372051781792E-2</v>
      </c>
      <c r="U55" s="36">
        <f t="shared" si="3"/>
        <v>37.669323352473619</v>
      </c>
    </row>
    <row r="56" spans="14:21" x14ac:dyDescent="0.3">
      <c r="N56" s="36">
        <v>115</v>
      </c>
      <c r="O56" s="36" cm="1">
        <f t="array" ref="O56">callOptionPrice(N56,$C$3,$C$4,$C$5,$C$6,$C$7)</f>
        <v>18.075014271155169</v>
      </c>
      <c r="P56" s="36"/>
      <c r="Q56" s="37">
        <f t="shared" si="5"/>
        <v>0.82525264230082007</v>
      </c>
      <c r="R56" s="36">
        <f t="shared" si="0"/>
        <v>-1.8563623328589074E-2</v>
      </c>
      <c r="S56" s="36">
        <f t="shared" si="1"/>
        <v>67.107300049748005</v>
      </c>
      <c r="T56" s="36">
        <f t="shared" si="2"/>
        <v>4.0594207969601816E-2</v>
      </c>
      <c r="U56" s="36">
        <f t="shared" si="3"/>
        <v>38.414519796719567</v>
      </c>
    </row>
    <row r="57" spans="14:21" x14ac:dyDescent="0.3">
      <c r="N57" s="36">
        <v>116</v>
      </c>
      <c r="O57" s="36" cm="1">
        <f t="array" ref="O57">callOptionPrice(N57,$C$3,$C$4,$C$5,$C$6,$C$7)</f>
        <v>18.906486138950015</v>
      </c>
      <c r="P57" s="36"/>
      <c r="Q57" s="37">
        <f t="shared" si="5"/>
        <v>0.83757673861949666</v>
      </c>
      <c r="R57" s="36">
        <f t="shared" si="0"/>
        <v>-1.8099983349600279E-2</v>
      </c>
      <c r="S57" s="36">
        <f t="shared" si="1"/>
        <v>68.701718230467193</v>
      </c>
      <c r="T57" s="36">
        <f t="shared" si="2"/>
        <v>4.0845254595997138E-2</v>
      </c>
      <c r="U57" s="36">
        <f t="shared" si="3"/>
        <v>39.1262077704558</v>
      </c>
    </row>
    <row r="58" spans="14:21" x14ac:dyDescent="0.3">
      <c r="N58" s="36">
        <v>117</v>
      </c>
      <c r="O58" s="36" cm="1">
        <f t="array" ref="O58">callOptionPrice(N58,$C$3,$C$4,$C$5,$C$6,$C$7)</f>
        <v>19.749941589171357</v>
      </c>
      <c r="P58" s="36"/>
      <c r="Q58" s="37">
        <f t="shared" si="5"/>
        <v>0.84922243419202714</v>
      </c>
      <c r="R58" s="36">
        <f t="shared" si="0"/>
        <v>-1.7625983587009841E-2</v>
      </c>
      <c r="S58" s="36">
        <f t="shared" si="1"/>
        <v>70.257440208492696</v>
      </c>
      <c r="T58" s="36">
        <f t="shared" si="2"/>
        <v>4.1059209706183181E-2</v>
      </c>
      <c r="U58" s="36">
        <f t="shared" si="3"/>
        <v>39.804541605647913</v>
      </c>
    </row>
    <row r="59" spans="14:21" x14ac:dyDescent="0.3">
      <c r="N59" s="36">
        <v>118</v>
      </c>
      <c r="O59" s="36" cm="1">
        <f t="array" ref="O59">callOptionPrice(N59,$C$3,$C$4,$C$5,$C$6,$C$7)</f>
        <v>20.604710469553893</v>
      </c>
      <c r="P59" s="36"/>
      <c r="Q59" s="37">
        <f t="shared" si="5"/>
        <v>0.86020658195203736</v>
      </c>
      <c r="R59" s="36">
        <f t="shared" si="0"/>
        <v>-1.7144817720577521E-2</v>
      </c>
      <c r="S59" s="36">
        <f t="shared" si="1"/>
        <v>71.774433063711299</v>
      </c>
      <c r="T59" s="36">
        <f t="shared" si="2"/>
        <v>4.1237824225056757E-2</v>
      </c>
      <c r="U59" s="36">
        <f t="shared" si="3"/>
        <v>40.449833100393256</v>
      </c>
    </row>
    <row r="60" spans="14:21" x14ac:dyDescent="0.3">
      <c r="N60" s="36">
        <v>119</v>
      </c>
      <c r="O60" s="36" cm="1">
        <f t="array" ref="O60">callOptionPrice(N60,$C$3,$C$4,$C$5,$C$6,$C$7)</f>
        <v>21.470140492467294</v>
      </c>
      <c r="P60" s="36"/>
      <c r="Q60" s="37">
        <f t="shared" si="5"/>
        <v>0.87054800254471276</v>
      </c>
      <c r="R60" s="36">
        <f t="shared" si="0"/>
        <v>-1.6659477749655593E-2</v>
      </c>
      <c r="S60" s="36">
        <f t="shared" si="1"/>
        <v>73.252877117784664</v>
      </c>
      <c r="T60" s="36">
        <f t="shared" si="2"/>
        <v>4.138288376119463E-2</v>
      </c>
      <c r="U60" s="36">
        <f t="shared" si="3"/>
        <v>41.062535905176759</v>
      </c>
    </row>
    <row r="61" spans="14:21" x14ac:dyDescent="0.3">
      <c r="N61" s="36">
        <v>120</v>
      </c>
      <c r="O61" s="36" cm="1">
        <f t="array" ref="O61">callOptionPrice(N61,$C$3,$C$4,$C$5,$C$6,$C$7)</f>
        <v>22.34559903829367</v>
      </c>
      <c r="P61" s="36"/>
      <c r="Q61" s="37">
        <f t="shared" si="5"/>
        <v>0.88026715847519943</v>
      </c>
      <c r="R61" s="36">
        <f t="shared" si="0"/>
        <v>-1.617274256204837E-2</v>
      </c>
      <c r="S61" s="36">
        <f t="shared" si="1"/>
        <v>74.693145241635222</v>
      </c>
      <c r="T61" s="36">
        <f t="shared" si="2"/>
        <v>4.1496191800908452E-2</v>
      </c>
      <c r="U61" s="36">
        <f t="shared" si="3"/>
        <v>41.643229989365132</v>
      </c>
    </row>
    <row r="62" spans="14:21" x14ac:dyDescent="0.3">
      <c r="N62" s="36">
        <v>121</v>
      </c>
      <c r="O62" s="36" cm="1">
        <f t="array" ref="O62">callOptionPrice(N62,$C$3,$C$4,$C$5,$C$6,$C$7)</f>
        <v>23.230474641759642</v>
      </c>
      <c r="P62" s="36"/>
      <c r="Q62" s="37">
        <f t="shared" si="5"/>
        <v>0.88938584620668115</v>
      </c>
      <c r="R62" s="36">
        <f t="shared" si="0"/>
        <v>-1.5687170338040346E-2</v>
      </c>
      <c r="S62" s="36">
        <f t="shared" si="1"/>
        <v>76.095782316233695</v>
      </c>
      <c r="T62" s="36">
        <f t="shared" si="2"/>
        <v>4.1579554574815207E-2</v>
      </c>
      <c r="U62" s="36">
        <f t="shared" si="3"/>
        <v>42.19260637462439</v>
      </c>
    </row>
    <row r="63" spans="14:21" x14ac:dyDescent="0.3">
      <c r="N63" s="36">
        <v>122</v>
      </c>
      <c r="O63" s="36" cm="1">
        <f t="array" ref="O63">callOptionPrice(N63,$C$3,$C$4,$C$5,$C$6,$C$7)</f>
        <v>24.124178180092386</v>
      </c>
      <c r="P63" s="36"/>
      <c r="Q63" s="37">
        <f t="shared" si="5"/>
        <v>0.8979269079571619</v>
      </c>
      <c r="R63" s="36">
        <f t="shared" si="0"/>
        <v>-1.5205094460810642E-2</v>
      </c>
      <c r="S63" s="36">
        <f t="shared" si="1"/>
        <v>77.461485086418136</v>
      </c>
      <c r="T63" s="36">
        <f t="shared" si="2"/>
        <v>4.1634767582057579E-2</v>
      </c>
      <c r="U63" s="36">
        <f t="shared" si="3"/>
        <v>42.711452295340685</v>
      </c>
    </row>
    <row r="64" spans="14:21" x14ac:dyDescent="0.3">
      <c r="N64" s="36">
        <v>123</v>
      </c>
      <c r="O64" s="36" cm="1">
        <f t="array" ref="O64">callOptionPrice(N64,$C$3,$C$4,$C$5,$C$6,$C$7)</f>
        <v>25.026143783353518</v>
      </c>
      <c r="P64" s="36"/>
      <c r="Q64" s="37">
        <f t="shared" si="5"/>
        <v>0.90591396442135474</v>
      </c>
      <c r="R64" s="36">
        <f t="shared" si="0"/>
        <v>-1.4728622585863604E-2</v>
      </c>
      <c r="S64" s="36">
        <f t="shared" si="1"/>
        <v>78.791082611913225</v>
      </c>
      <c r="T64" s="36">
        <f t="shared" si="2"/>
        <v>4.166360373423926E-2</v>
      </c>
      <c r="U64" s="36">
        <f t="shared" si="3"/>
        <v>43.200636920236555</v>
      </c>
    </row>
    <row r="65" spans="14:21" x14ac:dyDescent="0.3">
      <c r="N65" s="36">
        <v>124</v>
      </c>
      <c r="O65" s="36" cm="1">
        <f t="array" ref="O65">callOptionPrice(N65,$C$3,$C$4,$C$5,$C$6,$C$7)</f>
        <v>25.935829488290267</v>
      </c>
      <c r="P65" s="36"/>
      <c r="Q65" s="37">
        <f t="shared" si="5"/>
        <v>0.91337116917366057</v>
      </c>
      <c r="R65" s="36">
        <f t="shared" si="0"/>
        <v>-1.4259638511461503E-2</v>
      </c>
      <c r="S65" s="36">
        <f t="shared" si="1"/>
        <v>80.085517485409611</v>
      </c>
      <c r="T65" s="36">
        <f t="shared" si="2"/>
        <v>4.1667803062127778E-2</v>
      </c>
      <c r="U65" s="36">
        <f t="shared" si="3"/>
        <v>43.66109774462182</v>
      </c>
    </row>
    <row r="66" spans="14:21" x14ac:dyDescent="0.3">
      <c r="N66" s="36">
        <v>125</v>
      </c>
      <c r="O66" s="36" cm="1">
        <f t="array" ref="O66">callOptionPrice(N66,$C$3,$C$4,$C$5,$C$6,$C$7)</f>
        <v>26.852717657587789</v>
      </c>
      <c r="P66" s="36"/>
      <c r="Q66" s="37">
        <f t="shared" si="5"/>
        <v>0.92032298509147914</v>
      </c>
      <c r="R66" s="36">
        <f t="shared" si="0"/>
        <v>-1.3799806492144739E-2</v>
      </c>
      <c r="S66" s="36">
        <f t="shared" si="1"/>
        <v>81.345827955003855</v>
      </c>
      <c r="T66" s="36">
        <f t="shared" si="2"/>
        <v>4.164906391296197E-2</v>
      </c>
      <c r="U66" s="36">
        <f t="shared" si="3"/>
        <v>44.093827739423553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Dice Problem</vt:lpstr>
      <vt:lpstr>NPV Problem</vt:lpstr>
      <vt:lpstr>Forward Problem</vt:lpstr>
      <vt:lpstr>Option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</dc:creator>
  <cp:lastModifiedBy>TAN</cp:lastModifiedBy>
  <dcterms:created xsi:type="dcterms:W3CDTF">2020-06-16T16:42:52Z</dcterms:created>
  <dcterms:modified xsi:type="dcterms:W3CDTF">2020-08-14T22:18:09Z</dcterms:modified>
</cp:coreProperties>
</file>